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mc:AlternateContent xmlns:mc="http://schemas.openxmlformats.org/markup-compatibility/2006">
    <mc:Choice Requires="x15">
      <x15ac:absPath xmlns:x15ac="http://schemas.microsoft.com/office/spreadsheetml/2010/11/ac" url="/Users/paki/Documents/GitHub/Strategic_Thinking_Sep2026/CA1 Capstone Project Proposal /"/>
    </mc:Choice>
  </mc:AlternateContent>
  <xr:revisionPtr revIDLastSave="0" documentId="8_{2A2F45AA-0074-E446-B823-1D53DBA35867}" xr6:coauthVersionLast="47" xr6:coauthVersionMax="47" xr10:uidLastSave="{00000000-0000-0000-0000-000000000000}"/>
  <bookViews>
    <workbookView xWindow="6560" yWindow="760" windowWidth="26960" windowHeight="20040" activeTab="2" xr2:uid="{00000000-000D-0000-FFFF-FFFF00000000}"/>
  </bookViews>
  <sheets>
    <sheet name="Project Timeline" sheetId="5" r:id="rId1"/>
    <sheet name="Sheet1" sheetId="4" r:id="rId2"/>
    <sheet name="Gantt Template" sheetId="2" r:id="rId3"/>
  </sheets>
  <definedNames>
    <definedName name="_xlnm._FilterDatabase" localSheetId="0" hidden="1">'Project Timeline'!$A$5:$Z$24</definedName>
    <definedName name="Display_Week">'Gantt Template'!$Q$2</definedName>
    <definedName name="_xlnm.Print_Titles" localSheetId="2">'Gantt Template'!$4:$6</definedName>
    <definedName name="_xlnm.Print_Titles" localSheetId="0">'Project Timeline'!$1:$5</definedName>
    <definedName name="Project_Start">'Gantt Template'!$Q$1</definedName>
    <definedName name="task_end" localSheetId="2">'Gantt Template'!$F1</definedName>
    <definedName name="task_progress" localSheetId="2">'Gantt Template'!$D1</definedName>
    <definedName name="task_start" localSheetId="2">'Gantt Template'!$E1</definedName>
    <definedName name="today" localSheetId="2">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 i="2" l="1"/>
  <c r="H32" i="2"/>
  <c r="H26" i="2"/>
  <c r="H20" i="2"/>
  <c r="H14" i="2"/>
  <c r="E9" i="2"/>
  <c r="H8" i="2"/>
  <c r="H7" i="2"/>
  <c r="AK5" i="2"/>
  <c r="AK4" i="2" s="1"/>
  <c r="I5" i="2"/>
  <c r="I4" i="2" s="1"/>
  <c r="E21" i="2" l="1"/>
  <c r="F9" i="2"/>
  <c r="AL5" i="2"/>
  <c r="AK6" i="2"/>
  <c r="I6" i="2"/>
  <c r="J5" i="2"/>
  <c r="F21" i="2" l="1"/>
  <c r="E27" i="2"/>
  <c r="AM5" i="2"/>
  <c r="AL6" i="2"/>
  <c r="K5" i="2"/>
  <c r="J6" i="2"/>
  <c r="E10" i="2"/>
  <c r="H9" i="2"/>
  <c r="E22" i="2" l="1"/>
  <c r="H21" i="2"/>
  <c r="F22" i="2"/>
  <c r="H22" i="2"/>
  <c r="E23" i="2"/>
  <c r="E30" i="2"/>
  <c r="F27" i="2"/>
  <c r="E31" i="2"/>
  <c r="AN5" i="2"/>
  <c r="AM6" i="2"/>
  <c r="L5" i="2"/>
  <c r="K6" i="2"/>
  <c r="E13" i="2"/>
  <c r="F10" i="2"/>
  <c r="F23" i="2" l="1"/>
  <c r="E25" i="2"/>
  <c r="F30" i="2"/>
  <c r="H30" i="2" s="1"/>
  <c r="F31" i="2"/>
  <c r="H31" i="2" s="1"/>
  <c r="AO5" i="2"/>
  <c r="AN6" i="2"/>
  <c r="M5" i="2"/>
  <c r="L6" i="2"/>
  <c r="F13" i="2"/>
  <c r="H13" i="2"/>
  <c r="E15" i="2"/>
  <c r="E28" i="2"/>
  <c r="H27" i="2"/>
  <c r="E11" i="2"/>
  <c r="H10" i="2"/>
  <c r="E24" i="2" l="1"/>
  <c r="H23" i="2"/>
  <c r="F25" i="2"/>
  <c r="H25" i="2"/>
  <c r="AP5" i="2"/>
  <c r="AO6" i="2"/>
  <c r="N5" i="2"/>
  <c r="M6" i="2"/>
  <c r="F15" i="2"/>
  <c r="H15" i="2"/>
  <c r="E16" i="2"/>
  <c r="F28" i="2"/>
  <c r="F11" i="2"/>
  <c r="F24" i="2" l="1"/>
  <c r="H24" i="2" s="1"/>
  <c r="AQ5" i="2"/>
  <c r="AP6" i="2"/>
  <c r="O5" i="2"/>
  <c r="N6" i="2"/>
  <c r="F16" i="2"/>
  <c r="E29" i="2"/>
  <c r="H28" i="2"/>
  <c r="E12" i="2"/>
  <c r="H11" i="2"/>
  <c r="AR5" i="2" l="1"/>
  <c r="AQ6" i="2"/>
  <c r="P5" i="2"/>
  <c r="O6" i="2"/>
  <c r="F29" i="2"/>
  <c r="H29" i="2" s="1"/>
  <c r="F12" i="2"/>
  <c r="H12" i="2" s="1"/>
  <c r="E17" i="2"/>
  <c r="H16" i="2"/>
  <c r="AR4" i="2" l="1"/>
  <c r="AR6" i="2"/>
  <c r="AS5" i="2"/>
  <c r="Q5" i="2"/>
  <c r="P6" i="2"/>
  <c r="P4" i="2"/>
  <c r="E18" i="2"/>
  <c r="F17" i="2"/>
  <c r="H17" i="2" s="1"/>
  <c r="AT5" i="2" l="1"/>
  <c r="AS6" i="2"/>
  <c r="R5" i="2"/>
  <c r="Q6" i="2"/>
  <c r="F18" i="2"/>
  <c r="H18" i="2"/>
  <c r="E19" i="2"/>
  <c r="AU5" i="2" l="1"/>
  <c r="AT6" i="2"/>
  <c r="S5" i="2"/>
  <c r="R6" i="2"/>
  <c r="F19" i="2"/>
  <c r="H19" i="2"/>
  <c r="AV5" i="2" l="1"/>
  <c r="AU6" i="2"/>
  <c r="T5" i="2"/>
  <c r="S6" i="2"/>
  <c r="AW5" i="2" l="1"/>
  <c r="AV6" i="2"/>
  <c r="U5" i="2"/>
  <c r="T6" i="2"/>
  <c r="AX5" i="2" l="1"/>
  <c r="AW6" i="2"/>
  <c r="V5" i="2"/>
  <c r="U6" i="2"/>
  <c r="AY5" i="2" l="1"/>
  <c r="AX6" i="2"/>
  <c r="W5" i="2"/>
  <c r="V6" i="2"/>
  <c r="AZ5" i="2" l="1"/>
  <c r="AY6" i="2"/>
  <c r="AY4" i="2"/>
  <c r="X5" i="2"/>
  <c r="W6" i="2"/>
  <c r="W4" i="2"/>
  <c r="BA5" i="2" l="1"/>
  <c r="AZ6" i="2"/>
  <c r="Y5" i="2"/>
  <c r="X6" i="2"/>
  <c r="BB5" i="2" l="1"/>
  <c r="BA6" i="2"/>
  <c r="Z5" i="2"/>
  <c r="Y6" i="2"/>
  <c r="BC5" i="2" l="1"/>
  <c r="BB6" i="2"/>
  <c r="AA5" i="2"/>
  <c r="Z6" i="2"/>
  <c r="BD5" i="2" l="1"/>
  <c r="BC6" i="2"/>
  <c r="AB5" i="2"/>
  <c r="AA6" i="2"/>
  <c r="BE5" i="2" l="1"/>
  <c r="BD6" i="2"/>
  <c r="AC5" i="2"/>
  <c r="AB6" i="2"/>
  <c r="BF5" i="2" l="1"/>
  <c r="BE6" i="2"/>
  <c r="AD5" i="2"/>
  <c r="AC6" i="2"/>
  <c r="BG5" i="2" l="1"/>
  <c r="BF4" i="2"/>
  <c r="BF6" i="2"/>
  <c r="AE5" i="2"/>
  <c r="AD4" i="2"/>
  <c r="AD6" i="2"/>
  <c r="BG6" i="2" l="1"/>
  <c r="BH5" i="2"/>
  <c r="AF5" i="2"/>
  <c r="AE6" i="2"/>
  <c r="BH6" i="2" l="1"/>
  <c r="BI5" i="2"/>
  <c r="AG5" i="2"/>
  <c r="AF6" i="2"/>
  <c r="BI6" i="2" l="1"/>
  <c r="BJ5" i="2"/>
  <c r="AH5" i="2"/>
  <c r="AG6" i="2"/>
  <c r="BK5" i="2" l="1"/>
  <c r="BJ6" i="2"/>
  <c r="AI5" i="2"/>
  <c r="AH6" i="2"/>
  <c r="BL5" i="2" l="1"/>
  <c r="BL6" i="2" s="1"/>
  <c r="BK6" i="2"/>
  <c r="AJ5" i="2"/>
  <c r="AI6" i="2"/>
  <c r="BM5" i="2" l="1"/>
  <c r="AJ6" i="2"/>
  <c r="BN5" i="2" l="1"/>
  <c r="BM6" i="2"/>
  <c r="BM4" i="2"/>
  <c r="BO5" i="2" l="1"/>
  <c r="BN6" i="2"/>
  <c r="BP5" i="2" l="1"/>
  <c r="BO6" i="2"/>
  <c r="BQ5" i="2" l="1"/>
  <c r="BP6" i="2"/>
  <c r="BR5" i="2" l="1"/>
  <c r="BQ6" i="2"/>
  <c r="BS5" i="2" l="1"/>
  <c r="BR6" i="2"/>
  <c r="BS6" i="2" l="1"/>
  <c r="BT5" i="2"/>
  <c r="BT6" i="2" l="1"/>
  <c r="BT4" i="2"/>
  <c r="BU5" i="2"/>
  <c r="BV5" i="2" l="1"/>
  <c r="BU6" i="2"/>
  <c r="BW5" i="2" l="1"/>
  <c r="BV6" i="2"/>
  <c r="BX5" i="2" l="1"/>
  <c r="BW6" i="2"/>
  <c r="BY5" i="2" l="1"/>
  <c r="BX6" i="2"/>
  <c r="BZ5" i="2" l="1"/>
  <c r="BY6" i="2"/>
  <c r="BZ6" i="2" l="1"/>
  <c r="CA5" i="2"/>
  <c r="CA6" i="2" l="1"/>
  <c r="CA4" i="2"/>
  <c r="CB5" i="2"/>
  <c r="CB6" i="2" l="1"/>
  <c r="CC5" i="2"/>
  <c r="CC6" i="2" l="1"/>
  <c r="CD5" i="2"/>
  <c r="CE5" i="2" l="1"/>
  <c r="CD6" i="2"/>
  <c r="CF5" i="2" l="1"/>
  <c r="CE6" i="2"/>
  <c r="CG5" i="2" l="1"/>
  <c r="CF6" i="2"/>
  <c r="CH5" i="2" l="1"/>
  <c r="CG6" i="2"/>
  <c r="CH4" i="2" l="1"/>
  <c r="CI5" i="2"/>
  <c r="CH6" i="2"/>
  <c r="CJ5" i="2" l="1"/>
  <c r="CI6" i="2"/>
  <c r="CK5" i="2" l="1"/>
  <c r="CJ6" i="2"/>
  <c r="CL5" i="2" l="1"/>
  <c r="CK6" i="2"/>
  <c r="CM5" i="2" l="1"/>
  <c r="CL6" i="2"/>
  <c r="CM6" i="2" l="1"/>
  <c r="CN5" i="2"/>
  <c r="CN6" i="2" s="1"/>
</calcChain>
</file>

<file path=xl/sharedStrings.xml><?xml version="1.0" encoding="utf-8"?>
<sst xmlns="http://schemas.openxmlformats.org/spreadsheetml/2006/main" count="124" uniqueCount="96">
  <si>
    <t>PROJECT TIMELINE: DEPRESSION RISK PREDICTION IN OLDER ADULTS</t>
  </si>
  <si>
    <t>Relative 24-week plan | Calendar dates are not assigned because the project start date was not provided.</t>
  </si>
  <si>
    <t>PROJECT PHASE / TASK</t>
  </si>
  <si>
    <t>FIRST SEMESTER</t>
  </si>
  <si>
    <t>SECOND SEMESTER</t>
  </si>
  <si>
    <t>Phase / Task</t>
  </si>
  <si>
    <t>Timing</t>
  </si>
  <si>
    <t>W1</t>
  </si>
  <si>
    <t>W2</t>
  </si>
  <si>
    <t>W3</t>
  </si>
  <si>
    <t>W4</t>
  </si>
  <si>
    <t>W5</t>
  </si>
  <si>
    <t>W6</t>
  </si>
  <si>
    <t>W7</t>
  </si>
  <si>
    <t>W8</t>
  </si>
  <si>
    <t>W9</t>
  </si>
  <si>
    <t>W10</t>
  </si>
  <si>
    <t>W11</t>
  </si>
  <si>
    <t>W12</t>
  </si>
  <si>
    <t>Phase 1: Data Collection and Preprocessing</t>
  </si>
  <si>
    <t>Phase 2: Exploratory Data Analysis</t>
  </si>
  <si>
    <t>Phase 3: Model Development</t>
  </si>
  <si>
    <t>Phase 4: Model Evaluation and Optimization</t>
  </si>
  <si>
    <t>Phase 5: Business Insights and Decision Support</t>
  </si>
  <si>
    <t>Phase 6: Final Refinements and Presentation</t>
  </si>
  <si>
    <t>PHASE MILESTONES</t>
  </si>
  <si>
    <t>Dataset cleaned and ready for analysis</t>
  </si>
  <si>
    <t>EDA report and visualisations completed</t>
  </si>
  <si>
    <t>Initial predictive model developed</t>
  </si>
  <si>
    <t>Model evaluation completed</t>
  </si>
  <si>
    <t>Business recommendations completed</t>
  </si>
  <si>
    <t>Final report, dashboard and presentation completed</t>
  </si>
  <si>
    <t>Europa project</t>
  </si>
  <si>
    <t>Project start:</t>
  </si>
  <si>
    <t>VanArsdel, Ltd.</t>
  </si>
  <si>
    <t>Project lead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</si>
  <si>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</si>
  <si>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</si>
  <si>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</si>
  <si>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</si>
  <si>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</si>
  <si>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</si>
  <si>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</si>
  <si>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</si>
  <si>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</si>
  <si>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Initiation</t>
  </si>
  <si>
    <t>Define goals</t>
  </si>
  <si>
    <t>Gokce Aslan</t>
  </si>
  <si>
    <t>Conduct studies</t>
  </si>
  <si>
    <t>Hayden Cook</t>
  </si>
  <si>
    <t>Establish comms</t>
  </si>
  <si>
    <t>Jens Martensson</t>
  </si>
  <si>
    <t>Develop charter</t>
  </si>
  <si>
    <t>Nuria Acevedo</t>
  </si>
  <si>
    <t>Set up team</t>
  </si>
  <si>
    <t>Olivia Wilson</t>
  </si>
  <si>
    <t>Planning and design</t>
  </si>
  <si>
    <t>Create schedule</t>
  </si>
  <si>
    <t>Identify deliverables</t>
  </si>
  <si>
    <t>Develop budget</t>
  </si>
  <si>
    <t>Define scope</t>
  </si>
  <si>
    <t>Identify risks</t>
  </si>
  <si>
    <t>Execute tasks</t>
  </si>
  <si>
    <t>Monitor progress</t>
  </si>
  <si>
    <t>Manage resources</t>
  </si>
  <si>
    <t>Provide updates</t>
  </si>
  <si>
    <t>Testing and validation</t>
  </si>
  <si>
    <t>Evaluation</t>
  </si>
  <si>
    <t>Track expenses</t>
  </si>
  <si>
    <t>Evaluate progress</t>
  </si>
  <si>
    <t>Address risks</t>
  </si>
  <si>
    <t>Gather feedback</t>
  </si>
  <si>
    <t>Insert new rows ABOVE this one</t>
  </si>
  <si>
    <t>Finalise the model and reports</t>
  </si>
  <si>
    <t>Semester 2: Week 4</t>
  </si>
  <si>
    <t>Semester 2: Week 8</t>
  </si>
  <si>
    <t>Semester 2: Week 12</t>
  </si>
  <si>
    <t>Semester 1: Week 4</t>
  </si>
  <si>
    <t>Semester 1: Week 8</t>
  </si>
  <si>
    <t>Semester 1: Week 12</t>
  </si>
  <si>
    <t>Identify the data source, review the dataset documentation</t>
  </si>
  <si>
    <t>Inspect data types, missing values, duplicate records and inconsistent responses</t>
  </si>
  <si>
    <t>Cleaned analytical dataset</t>
  </si>
  <si>
    <t>Data dictionary and selected-variable list.</t>
  </si>
  <si>
    <t>Initial business insights for decision support.</t>
  </si>
  <si>
    <t>Analyse the distribution of the depression-related outcome among older adults</t>
  </si>
  <si>
    <t>Create EDA report with descriptive statistics and visualisations</t>
  </si>
  <si>
    <t>Prepare the modelling dataset and separate training and testing data</t>
  </si>
  <si>
    <t>Documentation of modelling decisions and limitations</t>
  </si>
  <si>
    <t>Evaluate candidate models on the test data</t>
  </si>
  <si>
    <t>Optimise models where appropriate and document their strengths and limitations</t>
  </si>
  <si>
    <t>Identify groups and factors that may be relevant to further assessment and priorities</t>
  </si>
  <si>
    <t>Business insights report</t>
  </si>
  <si>
    <t>Prepare the final presentation and check all submission requirements</t>
  </si>
  <si>
    <t>Review feedback and identify required improvements</t>
  </si>
  <si>
    <t>Final report, check all submission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</si>
</sst>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
    <numFmt numFmtId="165" formatCode="m/d/yy;@"/>
    <numFmt numFmtId="166" formatCode="ddd\,\ m/d/yyyy"/>
    <numFmt numFmtId="167" formatCode="mmm\ d\,\ yyyy"/>
  </numFmts>
  <fonts count="31" x14ac:knownFonts="1">
    <font>
      <sz val="11"/>
      <color theme="1"/>
      <name val="Aptos Narrow"/>
      <family val="2"/>
      <scheme val="minor"/>
    </font>
    <font>
      <sz val="10"/>
      <name val="Aptos Narrow"/>
      <family val="2"/>
      <scheme val="minor"/>
    </font>
    <font>
      <u/>
      <sz val="11"/>
      <color indexed="12"/>
      <name val="Arial"/>
      <family val="2"/>
    </font>
    <font>
      <sz val="11"/>
      <name val="Aptos Narrow"/>
      <family val="2"/>
      <scheme val="minor"/>
    </font>
    <font>
      <sz val="11"/>
      <color theme="1"/>
      <name val="Aptos Narrow"/>
      <family val="2"/>
      <scheme val="minor"/>
    </font>
    <font>
      <sz val="14"/>
      <color theme="1"/>
      <name val="Aptos Narrow"/>
      <family val="2"/>
      <scheme val="minor"/>
    </font>
    <font>
      <b/>
      <sz val="22"/>
      <color theme="1" tint="0.34998626667073579"/>
      <name val="Aptos Display"/>
      <family val="2"/>
      <scheme val="major"/>
    </font>
    <font>
      <b/>
      <sz val="11"/>
      <color theme="1" tint="0.499984740745262"/>
      <name val="Aptos Narrow"/>
      <family val="2"/>
      <scheme val="minor"/>
    </font>
    <font>
      <sz val="10"/>
      <color theme="1" tint="0.499984740745262"/>
      <name val="Arial"/>
      <family val="2"/>
    </font>
    <font>
      <sz val="11"/>
      <color theme="0"/>
      <name val="Aptos Narrow"/>
      <family val="2"/>
      <scheme val="minor"/>
    </font>
    <font>
      <sz val="10"/>
      <name val="Arial"/>
      <family val="2"/>
    </font>
    <font>
      <b/>
      <sz val="20"/>
      <color theme="4" tint="-0.249977111117893"/>
      <name val="Arial"/>
      <family val="2"/>
    </font>
    <font>
      <sz val="11"/>
      <color theme="1"/>
      <name val="Arial"/>
      <family val="2"/>
    </font>
    <font>
      <sz val="16"/>
      <color theme="1"/>
      <name val="Aptos Narrow"/>
      <family val="2"/>
      <scheme val="minor"/>
    </font>
    <font>
      <b/>
      <sz val="11"/>
      <name val="Aptos Narrow"/>
      <family val="2"/>
      <scheme val="minor"/>
    </font>
    <font>
      <sz val="10"/>
      <color theme="1"/>
      <name val="Aptos Narrow"/>
      <family val="2"/>
      <scheme val="minor"/>
    </font>
    <font>
      <b/>
      <sz val="10"/>
      <color theme="1"/>
      <name val="Aptos Narrow"/>
      <family val="2"/>
      <scheme val="minor"/>
    </font>
    <font>
      <b/>
      <sz val="8"/>
      <name val="Aptos Narrow"/>
      <family val="2"/>
      <scheme val="minor"/>
    </font>
    <font>
      <b/>
      <sz val="8"/>
      <color theme="1"/>
      <name val="Aptos Narrow"/>
      <family val="2"/>
      <scheme val="minor"/>
    </font>
    <font>
      <b/>
      <sz val="12"/>
      <color theme="1"/>
      <name val="Aptos Narrow"/>
      <family val="2"/>
      <scheme val="minor"/>
    </font>
    <font>
      <i/>
      <sz val="10"/>
      <color theme="1"/>
      <name val="Aptos Narrow"/>
      <family val="2"/>
      <scheme val="minor"/>
    </font>
    <font>
      <sz val="10"/>
      <color theme="1" tint="0.499984740745262"/>
      <name val="Aptos Narrow"/>
      <family val="2"/>
      <scheme val="minor"/>
    </font>
    <font>
      <b/>
      <sz val="16"/>
      <color theme="9"/>
      <name val="Aptos Narrow"/>
      <family val="2"/>
      <scheme val="minor"/>
    </font>
    <font>
      <b/>
      <sz val="16"/>
      <color theme="9"/>
      <name val="Aptos Display"/>
      <family val="2"/>
      <scheme val="major"/>
    </font>
    <font>
      <b/>
      <sz val="40"/>
      <color theme="9"/>
      <name val="Aptos Display"/>
      <family val="2"/>
      <scheme val="major"/>
    </font>
    <font>
      <b/>
      <sz val="16"/>
      <color rgb="FFFFFFFF"/>
      <name val="Arial"/>
      <family val="2"/>
    </font>
    <font>
      <i/>
      <sz val="10"/>
      <color rgb="FF404040"/>
      <name val="Arial"/>
      <family val="2"/>
    </font>
    <font>
      <b/>
      <sz val="11"/>
      <color rgb="FFFFFFFF"/>
      <name val="Arial"/>
      <family val="2"/>
    </font>
    <font>
      <b/>
      <sz val="11"/>
      <color rgb="FF17365D"/>
      <name val="Arial"/>
      <family val="2"/>
    </font>
    <font>
      <sz val="10"/>
      <color rgb="FF404040"/>
      <name val="Arial"/>
      <family val="2"/>
    </font>
    <font>
      <b/>
      <sz val="8"/>
      <color rgb="FFFFFFFF"/>
      <name val="Arial"/>
      <family val="2"/>
    </font>
  </fonts>
  <fills count="2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3743705557422"/>
        <bgColor indexed="64"/>
      </patternFill>
    </fill>
    <fill>
      <patternFill patternType="solid">
        <fgColor rgb="FF17365D"/>
      </patternFill>
    </fill>
    <fill>
      <patternFill patternType="solid">
        <fgColor rgb="FF4472C4"/>
      </patternFill>
    </fill>
    <fill>
      <patternFill patternType="solid">
        <fgColor rgb="FF16877A"/>
      </patternFill>
    </fill>
    <fill>
      <patternFill patternType="solid">
        <fgColor rgb="FFF7F9FC"/>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4" tint="0.39997558519241921"/>
        <bgColor indexed="64"/>
      </patternFill>
    </fill>
  </fills>
  <borders count="24">
    <border>
      <left/>
      <right/>
      <top/>
      <bottom/>
      <diagonal/>
    </border>
    <border>
      <left/>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0691854609822"/>
      </left>
      <right style="thin">
        <color theme="0" tint="-0.149906918546098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bottom style="thin">
        <color rgb="FFD9E2F3"/>
      </bottom>
      <diagonal/>
    </border>
    <border>
      <left style="hair">
        <color rgb="FFE7E6E6"/>
      </left>
      <right/>
      <top/>
      <bottom style="thin">
        <color rgb="FFD9E2F3"/>
      </bottom>
      <diagonal/>
    </border>
    <border>
      <left/>
      <right/>
      <top style="thin">
        <color rgb="FFD9E2F3"/>
      </top>
      <bottom style="thin">
        <color rgb="FFD9E2F3"/>
      </bottom>
      <diagonal/>
    </border>
  </borders>
  <cellStyleXfs count="12">
    <xf numFmtId="0" fontId="0" fillId="0" borderId="0"/>
    <xf numFmtId="0" fontId="2" fillId="0" borderId="0">
      <alignment vertical="top"/>
      <protection locked="0"/>
    </xf>
    <xf numFmtId="9" fontId="4" fillId="0" borderId="0"/>
    <xf numFmtId="0" fontId="9" fillId="0" borderId="0"/>
    <xf numFmtId="0" fontId="6" fillId="0" borderId="0"/>
    <xf numFmtId="0" fontId="5" fillId="0" borderId="0"/>
    <xf numFmtId="0" fontId="5" fillId="0" borderId="0">
      <alignment vertical="top"/>
    </xf>
    <xf numFmtId="0" fontId="4" fillId="0" borderId="0">
      <alignment horizontal="right" indent="1"/>
    </xf>
    <xf numFmtId="166" fontId="4" fillId="0" borderId="2">
      <alignment horizontal="center" vertical="center"/>
    </xf>
    <xf numFmtId="165" fontId="4" fillId="0" borderId="1">
      <alignment horizontal="center" vertical="center"/>
    </xf>
    <xf numFmtId="0" fontId="4" fillId="0" borderId="1">
      <alignment horizontal="center" vertical="center"/>
    </xf>
    <xf numFmtId="0" fontId="4" fillId="0" borderId="1">
      <alignment horizontal="left" vertical="center" indent="2"/>
    </xf>
  </cellStyleXfs>
  <cellXfs count="13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7">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4" fontId="17" fillId="12" borderId="19" xfId="0" applyNumberFormat="1" applyFont="1" applyFill="1" applyBorder="1" applyAlignment="1">
      <alignment horizontal="center" vertical="center"/>
    </xf>
    <xf numFmtId="164" fontId="17" fillId="12" borderId="17" xfId="0" applyNumberFormat="1" applyFont="1" applyFill="1" applyBorder="1" applyAlignment="1">
      <alignment horizontal="center" vertical="center"/>
    </xf>
    <xf numFmtId="164" fontId="17" fillId="12" borderId="18" xfId="0" applyNumberFormat="1" applyFont="1" applyFill="1" applyBorder="1" applyAlignment="1">
      <alignment horizontal="center" vertical="center"/>
    </xf>
    <xf numFmtId="0" fontId="18" fillId="2" borderId="16"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0" applyFont="1" applyFill="1" applyBorder="1" applyAlignment="1">
      <alignment vertical="center"/>
    </xf>
    <xf numFmtId="9" fontId="1" fillId="6" borderId="0" xfId="2" applyFont="1" applyFill="1" applyAlignment="1">
      <alignment horizontal="center" vertical="center"/>
    </xf>
    <xf numFmtId="165" fontId="15"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1" applyFont="1" applyFill="1" applyBorder="1">
      <alignment horizontal="left" vertical="center" indent="2"/>
    </xf>
    <xf numFmtId="0" fontId="15" fillId="3" borderId="6" xfId="10" applyFont="1" applyFill="1" applyBorder="1" applyAlignment="1">
      <alignment vertical="center"/>
    </xf>
    <xf numFmtId="9" fontId="1" fillId="3" borderId="6" xfId="2" applyFont="1" applyFill="1" applyBorder="1" applyAlignment="1">
      <alignment horizontal="center" vertical="center"/>
    </xf>
    <xf numFmtId="165" fontId="15" fillId="3" borderId="6" xfId="9" applyFont="1" applyFill="1" applyBorder="1">
      <alignment horizontal="center" vertical="center"/>
    </xf>
    <xf numFmtId="0" fontId="4" fillId="0" borderId="4" xfId="0" applyFont="1" applyBorder="1" applyAlignment="1">
      <alignment vertical="center"/>
    </xf>
    <xf numFmtId="0" fontId="15" fillId="3" borderId="7" xfId="11" applyFont="1" applyFill="1" applyBorder="1">
      <alignment horizontal="left" vertical="center" indent="2"/>
    </xf>
    <xf numFmtId="0" fontId="15" fillId="3" borderId="7" xfId="10" applyFont="1" applyFill="1" applyBorder="1" applyAlignment="1">
      <alignment vertical="center"/>
    </xf>
    <xf numFmtId="9" fontId="1" fillId="3" borderId="7" xfId="2" applyFont="1" applyFill="1" applyBorder="1" applyAlignment="1">
      <alignment horizontal="center" vertical="center"/>
    </xf>
    <xf numFmtId="165" fontId="15" fillId="3" borderId="7" xfId="9"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0" applyFont="1" applyFill="1" applyBorder="1" applyAlignment="1">
      <alignment vertical="center"/>
    </xf>
    <xf numFmtId="9" fontId="1" fillId="7" borderId="0" xfId="2" applyFont="1" applyFill="1" applyAlignment="1">
      <alignment horizontal="center" vertical="center"/>
    </xf>
    <xf numFmtId="165" fontId="15"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5" fillId="4" borderId="5" xfId="11" applyFont="1" applyFill="1" applyBorder="1">
      <alignment horizontal="left" vertical="center" indent="2"/>
    </xf>
    <xf numFmtId="0" fontId="15" fillId="4" borderId="5" xfId="10" applyFont="1" applyFill="1" applyBorder="1" applyAlignment="1">
      <alignment vertical="center"/>
    </xf>
    <xf numFmtId="9" fontId="1" fillId="4" borderId="5" xfId="2" applyFont="1" applyFill="1" applyBorder="1" applyAlignment="1">
      <alignment horizontal="center" vertical="center"/>
    </xf>
    <xf numFmtId="165" fontId="15" fillId="4" borderId="5" xfId="9" applyFont="1" applyFill="1" applyBorder="1">
      <alignment horizontal="center" vertical="center"/>
    </xf>
    <xf numFmtId="0" fontId="19" fillId="8" borderId="0" xfId="0" applyFont="1" applyFill="1" applyAlignment="1">
      <alignment horizontal="left" vertical="center" indent="1"/>
    </xf>
    <xf numFmtId="0" fontId="15" fillId="8" borderId="0" xfId="10" applyFont="1" applyFill="1" applyBorder="1" applyAlignment="1">
      <alignment vertical="center"/>
    </xf>
    <xf numFmtId="9" fontId="1" fillId="8" borderId="0" xfId="2" applyFont="1" applyFill="1" applyAlignment="1">
      <alignment horizontal="center" vertical="center"/>
    </xf>
    <xf numFmtId="165" fontId="15"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1" applyFont="1" applyFill="1" applyBorder="1">
      <alignment horizontal="left" vertical="center" indent="2"/>
    </xf>
    <xf numFmtId="0" fontId="15" fillId="5" borderId="8" xfId="10" applyFont="1" applyFill="1" applyBorder="1" applyAlignment="1">
      <alignment vertical="center"/>
    </xf>
    <xf numFmtId="9" fontId="1" fillId="5" borderId="8" xfId="2" applyFont="1" applyFill="1" applyBorder="1" applyAlignment="1">
      <alignment horizontal="center" vertical="center"/>
    </xf>
    <xf numFmtId="165" fontId="15" fillId="5" borderId="8" xfId="9" applyFont="1" applyFill="1" applyBorder="1">
      <alignment horizontal="center" vertical="center"/>
    </xf>
    <xf numFmtId="0" fontId="19" fillId="9" borderId="0" xfId="0" applyFont="1" applyFill="1" applyAlignment="1">
      <alignment horizontal="left" vertical="center" indent="1"/>
    </xf>
    <xf numFmtId="0" fontId="15" fillId="9" borderId="0" xfId="10" applyFont="1" applyFill="1" applyBorder="1" applyAlignment="1">
      <alignment vertical="center"/>
    </xf>
    <xf numFmtId="9" fontId="1" fillId="9" borderId="0" xfId="2" applyFont="1" applyFill="1" applyAlignment="1">
      <alignment horizontal="center" vertical="center"/>
    </xf>
    <xf numFmtId="165" fontId="15"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1" applyFont="1" applyFill="1" applyBorder="1">
      <alignment horizontal="left" vertical="center" indent="2"/>
    </xf>
    <xf numFmtId="0" fontId="15" fillId="10" borderId="9" xfId="10" applyFont="1" applyFill="1" applyBorder="1" applyAlignment="1">
      <alignment vertical="center"/>
    </xf>
    <xf numFmtId="9" fontId="1" fillId="10" borderId="9" xfId="2" applyFont="1" applyFill="1" applyBorder="1" applyAlignment="1">
      <alignment horizontal="center" vertical="center"/>
    </xf>
    <xf numFmtId="165" fontId="15" fillId="10" borderId="9" xfId="9" applyFont="1" applyFill="1" applyBorder="1">
      <alignment horizontal="center" vertical="center"/>
    </xf>
    <xf numFmtId="0" fontId="15" fillId="0" borderId="0" xfId="11" applyFont="1" applyBorder="1">
      <alignment horizontal="left" vertical="center" indent="2"/>
    </xf>
    <xf numFmtId="0" fontId="15" fillId="0" borderId="0" xfId="10" applyFont="1" applyBorder="1" applyAlignment="1">
      <alignment vertical="center"/>
    </xf>
    <xf numFmtId="9" fontId="1" fillId="0" borderId="0" xfId="2" applyFont="1" applyAlignment="1">
      <alignment horizontal="center" vertical="center"/>
    </xf>
    <xf numFmtId="165" fontId="15" fillId="0" borderId="0" xfId="9"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Alignment="1">
      <alignment horizontal="center" vertical="center"/>
    </xf>
    <xf numFmtId="165" fontId="21"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5" applyFont="1" applyAlignment="1">
      <alignment horizontal="left" vertical="center" indent="1"/>
    </xf>
    <xf numFmtId="0" fontId="22" fillId="0" borderId="0" xfId="6" applyFont="1" applyAlignment="1">
      <alignment horizontal="left" vertical="center" indent="1"/>
    </xf>
    <xf numFmtId="0" fontId="24" fillId="0" borderId="0" xfId="4" applyFont="1" applyAlignment="1">
      <alignment horizontal="left"/>
    </xf>
    <xf numFmtId="0" fontId="27" fillId="14" borderId="0" xfId="0" applyFont="1" applyFill="1" applyAlignment="1">
      <alignment horizontal="center" vertical="center" wrapText="1"/>
    </xf>
    <xf numFmtId="0" fontId="27" fillId="14" borderId="0" xfId="0" applyFont="1" applyFill="1" applyAlignment="1">
      <alignment horizontal="center" vertical="center"/>
    </xf>
    <xf numFmtId="0" fontId="27" fillId="15" borderId="0" xfId="0" applyFont="1" applyFill="1" applyAlignment="1">
      <alignment horizontal="center" vertical="center"/>
    </xf>
    <xf numFmtId="0" fontId="28" fillId="0" borderId="21" xfId="0" applyFont="1" applyBorder="1" applyAlignment="1">
      <alignment vertical="center" wrapText="1"/>
    </xf>
    <xf numFmtId="0" fontId="29" fillId="0" borderId="21" xfId="0" applyFont="1" applyBorder="1" applyAlignment="1">
      <alignment vertical="center" wrapText="1"/>
    </xf>
    <xf numFmtId="0" fontId="0" fillId="16" borderId="22" xfId="0" applyFill="1" applyBorder="1"/>
    <xf numFmtId="0" fontId="28" fillId="0" borderId="21" xfId="0" applyFont="1" applyBorder="1"/>
    <xf numFmtId="0" fontId="27" fillId="13" borderId="0" xfId="0" applyFont="1" applyFill="1" applyAlignment="1">
      <alignment horizontal="center" vertical="center"/>
    </xf>
    <xf numFmtId="0" fontId="0" fillId="0" borderId="0" xfId="0"/>
    <xf numFmtId="0" fontId="25" fillId="13" borderId="0" xfId="0" applyFont="1" applyFill="1" applyAlignment="1">
      <alignment horizontal="left" vertical="center"/>
    </xf>
    <xf numFmtId="0" fontId="27" fillId="13" borderId="0" xfId="0" applyFont="1" applyFill="1" applyAlignment="1">
      <alignment vertical="center"/>
    </xf>
    <xf numFmtId="0" fontId="26" fillId="0" borderId="0" xfId="0" applyFont="1" applyAlignment="1">
      <alignment vertical="center"/>
    </xf>
    <xf numFmtId="0" fontId="16" fillId="11" borderId="19" xfId="0" applyFont="1" applyFill="1" applyBorder="1" applyAlignment="1">
      <alignment horizontal="center" vertical="center"/>
    </xf>
    <xf numFmtId="0" fontId="0" fillId="0" borderId="20" xfId="0" applyBorder="1"/>
    <xf numFmtId="0" fontId="22" fillId="0" borderId="0" xfId="7" applyFont="1" applyAlignment="1">
      <alignment horizontal="left"/>
    </xf>
    <xf numFmtId="167" fontId="15" fillId="2" borderId="17" xfId="0" applyNumberFormat="1" applyFont="1" applyFill="1" applyBorder="1" applyAlignment="1">
      <alignment horizontal="center" vertical="center" wrapText="1"/>
    </xf>
    <xf numFmtId="0" fontId="0" fillId="0" borderId="19" xfId="0" applyBorder="1"/>
    <xf numFmtId="0" fontId="0" fillId="0" borderId="17" xfId="0" applyBorder="1"/>
    <xf numFmtId="167" fontId="15" fillId="2" borderId="13" xfId="0" applyNumberFormat="1" applyFont="1" applyFill="1" applyBorder="1" applyAlignment="1">
      <alignment horizontal="center" vertical="center" wrapText="1"/>
    </xf>
    <xf numFmtId="0" fontId="23" fillId="0" borderId="0" xfId="0" applyFont="1" applyAlignment="1">
      <alignment horizontal="left"/>
    </xf>
    <xf numFmtId="0" fontId="9" fillId="0" borderId="0" xfId="3" applyAlignment="1">
      <alignment wrapText="1"/>
    </xf>
    <xf numFmtId="0" fontId="4" fillId="0" borderId="0" xfId="0" applyFont="1"/>
    <xf numFmtId="0" fontId="16" fillId="11" borderId="19" xfId="0" applyFont="1" applyFill="1" applyBorder="1" applyAlignment="1">
      <alignment horizontal="left" vertical="center" indent="1"/>
    </xf>
    <xf numFmtId="166" fontId="23" fillId="0" borderId="0" xfId="8" applyFont="1" applyBorder="1" applyAlignment="1">
      <alignment horizontal="left"/>
    </xf>
    <xf numFmtId="0" fontId="16" fillId="11" borderId="19" xfId="0" applyFont="1" applyFill="1" applyBorder="1" applyAlignment="1">
      <alignment vertical="center"/>
    </xf>
    <xf numFmtId="0" fontId="29" fillId="0" borderId="21" xfId="0" applyFont="1" applyBorder="1" applyAlignment="1">
      <alignment vertical="center"/>
    </xf>
    <xf numFmtId="0" fontId="30" fillId="17" borderId="22" xfId="0" applyFont="1" applyFill="1" applyBorder="1" applyAlignment="1">
      <alignment horizontal="center" vertical="center"/>
    </xf>
    <xf numFmtId="0" fontId="30" fillId="18" borderId="22" xfId="0" applyFont="1" applyFill="1" applyBorder="1" applyAlignment="1">
      <alignment horizontal="center" vertical="center"/>
    </xf>
    <xf numFmtId="0" fontId="0" fillId="0" borderId="21" xfId="0" applyBorder="1" applyAlignment="1">
      <alignment horizontal="left" vertical="center" wrapText="1"/>
    </xf>
    <xf numFmtId="0" fontId="0" fillId="0" borderId="23" xfId="0" applyBorder="1" applyAlignment="1">
      <alignment horizontal="left" vertical="center" wrapText="1"/>
    </xf>
    <xf numFmtId="0" fontId="28" fillId="0" borderId="21" xfId="0" applyFont="1" applyBorder="1" applyAlignment="1">
      <alignment vertical="center"/>
    </xf>
    <xf numFmtId="0" fontId="0" fillId="16" borderId="22" xfId="0" applyFill="1" applyBorder="1" applyAlignment="1"/>
    <xf numFmtId="0" fontId="0" fillId="0" borderId="0" xfId="0" applyAlignment="1"/>
    <xf numFmtId="0" fontId="0" fillId="19" borderId="22" xfId="0" applyFill="1" applyBorder="1"/>
    <xf numFmtId="0" fontId="30" fillId="19" borderId="22" xfId="0" applyFont="1" applyFill="1" applyBorder="1" applyAlignment="1">
      <alignment horizontal="center" vertical="center"/>
    </xf>
    <xf numFmtId="0" fontId="30" fillId="3" borderId="22" xfId="0" applyFont="1" applyFill="1" applyBorder="1" applyAlignment="1">
      <alignment horizontal="center" vertical="center"/>
    </xf>
    <xf numFmtId="0" fontId="30" fillId="20" borderId="22" xfId="0" applyFont="1" applyFill="1" applyBorder="1" applyAlignment="1">
      <alignment horizontal="center" vertical="center"/>
    </xf>
    <xf numFmtId="0" fontId="0" fillId="21" borderId="22" xfId="0" applyFill="1" applyBorder="1"/>
  </cellXfs>
  <cellStyles count="12">
    <cellStyle name="Date" xfId="9" xr:uid="{00000000-0005-0000-0000-00000A000000}"/>
    <cellStyle name="Heading 1" xfId="5" builtinId="16"/>
    <cellStyle name="Heading 2" xfId="6" builtinId="17"/>
    <cellStyle name="Heading 3" xfId="7" builtinId="18"/>
    <cellStyle name="Hyperlink" xfId="1" builtinId="8"/>
    <cellStyle name="Name" xfId="10" xr:uid="{00000000-0005-0000-0000-00000B000000}"/>
    <cellStyle name="Normal" xfId="0" builtinId="0"/>
    <cellStyle name="Per cent" xfId="2" builtinId="5"/>
    <cellStyle name="Project Start" xfId="8" xr:uid="{00000000-0005-0000-0000-000009000000}"/>
    <cellStyle name="Task" xfId="11" xr:uid="{00000000-0005-0000-0000-00000C000000}"/>
    <cellStyle name="Title" xfId="4" builtinId="15"/>
    <cellStyle name="zHiddenText" xfId="3" xr:uid="{00000000-0005-0000-0000-000003000000}"/>
  </cellStyles>
  <dxfs count="26">
    <dxf>
      <border>
        <left style="thin">
          <color theme="5"/>
        </left>
        <right style="thin">
          <color theme="5"/>
        </right>
        <vertical/>
        <horizontal/>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5"/>
      <tableStyleElement type="headerRow" dxfId="24"/>
      <tableStyleElement type="totalRow" dxfId="23"/>
      <tableStyleElement type="firstColumn" dxfId="22"/>
      <tableStyleElement type="lastColumn" dxfId="21"/>
      <tableStyleElement type="firstRowStripe" dxfId="20"/>
      <tableStyleElement type="secondRowStripe" dxfId="19"/>
      <tableStyleElement type="firstColumnStripe" dxfId="18"/>
      <tableStyleElement type="secondColumnStripe"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3813</xdr:colOff>
      <xdr:row>5</xdr:row>
      <xdr:rowOff>35278</xdr:rowOff>
    </xdr:from>
    <xdr:to>
      <xdr:col>6</xdr:col>
      <xdr:colOff>0</xdr:colOff>
      <xdr:row>5</xdr:row>
      <xdr:rowOff>190499</xdr:rowOff>
    </xdr:to>
    <xdr:sp macro="" textlink="">
      <xdr:nvSpPr>
        <xdr:cNvPr id="2" name="Pentagon 1">
          <a:extLst>
            <a:ext uri="{FF2B5EF4-FFF2-40B4-BE49-F238E27FC236}">
              <a16:creationId xmlns:a16="http://schemas.microsoft.com/office/drawing/2014/main" id="{FB94D6CD-DEE8-AB44-8288-D30AE214CF83}"/>
            </a:ext>
          </a:extLst>
        </xdr:cNvPr>
        <xdr:cNvSpPr/>
      </xdr:nvSpPr>
      <xdr:spPr>
        <a:xfrm>
          <a:off x="5667327" y="1053566"/>
          <a:ext cx="1262373" cy="155221"/>
        </a:xfrm>
        <a:prstGeom prst="homePlate">
          <a:avLst/>
        </a:prstGeom>
        <a:gradFill flip="none" rotWithShape="1">
          <a:gsLst>
            <a:gs pos="0">
              <a:schemeClr val="accent6">
                <a:lumMod val="40000"/>
                <a:lumOff val="60000"/>
              </a:schemeClr>
            </a:gs>
            <a:gs pos="77000">
              <a:schemeClr val="accent1">
                <a:lumMod val="105000"/>
                <a:satMod val="103000"/>
                <a:tint val="73000"/>
              </a:schemeClr>
            </a:gs>
            <a:gs pos="0">
              <a:schemeClr val="accent1">
                <a:lumMod val="20000"/>
                <a:lumOff val="80000"/>
              </a:schemeClr>
            </a:gs>
            <a:gs pos="92000">
              <a:schemeClr val="accent1">
                <a:lumMod val="105000"/>
                <a:satMod val="109000"/>
                <a:tint val="81000"/>
              </a:schemeClr>
            </a:gs>
          </a:gsLst>
          <a:path path="circle">
            <a:fillToRect l="100000" t="100000"/>
          </a:path>
          <a:tileRect r="-100000" b="-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nchorCtr="1"/>
        <a:lstStyle/>
        <a:p>
          <a:pPr algn="l"/>
          <a:r>
            <a:rPr lang="en-GB" sz="800">
              <a:ln>
                <a:noFill/>
              </a:ln>
              <a:solidFill>
                <a:schemeClr val="dk1"/>
              </a:solidFill>
              <a:latin typeface="+mn-lt"/>
            </a:rPr>
            <a:t>Phase 1</a:t>
          </a:r>
        </a:p>
      </xdr:txBody>
    </xdr:sp>
    <xdr:clientData/>
  </xdr:twoCellAnchor>
  <xdr:twoCellAnchor>
    <xdr:from>
      <xdr:col>5</xdr:col>
      <xdr:colOff>188</xdr:colOff>
      <xdr:row>10</xdr:row>
      <xdr:rowOff>48580</xdr:rowOff>
    </xdr:from>
    <xdr:to>
      <xdr:col>10</xdr:col>
      <xdr:colOff>0</xdr:colOff>
      <xdr:row>10</xdr:row>
      <xdr:rowOff>216648</xdr:rowOff>
    </xdr:to>
    <xdr:sp macro="" textlink="">
      <xdr:nvSpPr>
        <xdr:cNvPr id="3" name="Pentagon 2">
          <a:extLst>
            <a:ext uri="{FF2B5EF4-FFF2-40B4-BE49-F238E27FC236}">
              <a16:creationId xmlns:a16="http://schemas.microsoft.com/office/drawing/2014/main" id="{AC524B4F-90D0-DB46-AC05-D9C419FB70AC}"/>
            </a:ext>
          </a:extLst>
        </xdr:cNvPr>
        <xdr:cNvSpPr/>
      </xdr:nvSpPr>
      <xdr:spPr>
        <a:xfrm>
          <a:off x="4813488" y="2271080"/>
          <a:ext cx="1587312" cy="168068"/>
        </a:xfrm>
        <a:prstGeom prst="homePlate">
          <a:avLst/>
        </a:prstGeom>
        <a:gradFill flip="none" rotWithShape="1">
          <a:gsLst>
            <a:gs pos="0">
              <a:schemeClr val="accent6">
                <a:lumMod val="40000"/>
                <a:lumOff val="60000"/>
              </a:schemeClr>
            </a:gs>
            <a:gs pos="77000">
              <a:schemeClr val="accent1">
                <a:lumMod val="105000"/>
                <a:satMod val="103000"/>
                <a:tint val="73000"/>
              </a:schemeClr>
            </a:gs>
            <a:gs pos="0">
              <a:schemeClr val="accent1">
                <a:lumMod val="20000"/>
                <a:lumOff val="80000"/>
              </a:schemeClr>
            </a:gs>
            <a:gs pos="92000">
              <a:schemeClr val="accent1">
                <a:lumMod val="105000"/>
                <a:satMod val="109000"/>
                <a:tint val="81000"/>
              </a:schemeClr>
            </a:gs>
          </a:gsLst>
          <a:path path="circle">
            <a:fillToRect l="100000" t="100000"/>
          </a:path>
          <a:tileRect r="-100000" b="-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nchorCtr="1"/>
        <a:lstStyle/>
        <a:p>
          <a:pPr algn="l"/>
          <a:r>
            <a:rPr lang="en-GB" sz="800">
              <a:ln>
                <a:noFill/>
              </a:ln>
              <a:solidFill>
                <a:schemeClr val="dk1"/>
              </a:solidFill>
              <a:latin typeface="+mn-lt"/>
            </a:rPr>
            <a:t>Phase 2</a:t>
          </a:r>
        </a:p>
      </xdr:txBody>
    </xdr:sp>
    <xdr:clientData/>
  </xdr:twoCellAnchor>
  <xdr:twoCellAnchor>
    <xdr:from>
      <xdr:col>8</xdr:col>
      <xdr:colOff>5450</xdr:colOff>
      <xdr:row>14</xdr:row>
      <xdr:rowOff>49008</xdr:rowOff>
    </xdr:from>
    <xdr:to>
      <xdr:col>14</xdr:col>
      <xdr:colOff>1</xdr:colOff>
      <xdr:row>14</xdr:row>
      <xdr:rowOff>204229</xdr:rowOff>
    </xdr:to>
    <xdr:sp macro="" textlink="">
      <xdr:nvSpPr>
        <xdr:cNvPr id="4" name="Pentagon 3">
          <a:extLst>
            <a:ext uri="{FF2B5EF4-FFF2-40B4-BE49-F238E27FC236}">
              <a16:creationId xmlns:a16="http://schemas.microsoft.com/office/drawing/2014/main" id="{67DB7CE9-16A1-E54B-B2F9-C2660709A8E6}"/>
            </a:ext>
          </a:extLst>
        </xdr:cNvPr>
        <xdr:cNvSpPr/>
      </xdr:nvSpPr>
      <xdr:spPr>
        <a:xfrm>
          <a:off x="5771250" y="3236708"/>
          <a:ext cx="1899551" cy="155221"/>
        </a:xfrm>
        <a:prstGeom prst="homePlate">
          <a:avLst/>
        </a:prstGeom>
        <a:gradFill flip="none" rotWithShape="1">
          <a:gsLst>
            <a:gs pos="0">
              <a:schemeClr val="accent6">
                <a:lumMod val="40000"/>
                <a:lumOff val="60000"/>
              </a:schemeClr>
            </a:gs>
            <a:gs pos="77000">
              <a:schemeClr val="accent1">
                <a:lumMod val="105000"/>
                <a:satMod val="103000"/>
                <a:tint val="73000"/>
              </a:schemeClr>
            </a:gs>
            <a:gs pos="0">
              <a:schemeClr val="accent1">
                <a:lumMod val="20000"/>
                <a:lumOff val="80000"/>
              </a:schemeClr>
            </a:gs>
            <a:gs pos="92000">
              <a:schemeClr val="accent1">
                <a:lumMod val="105000"/>
                <a:satMod val="109000"/>
                <a:tint val="81000"/>
              </a:schemeClr>
            </a:gs>
          </a:gsLst>
          <a:path path="circle">
            <a:fillToRect l="100000" t="100000"/>
          </a:path>
          <a:tileRect r="-100000" b="-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nchorCtr="1"/>
        <a:lstStyle/>
        <a:p>
          <a:pPr algn="l"/>
          <a:r>
            <a:rPr lang="en-GB" sz="800">
              <a:ln>
                <a:noFill/>
              </a:ln>
              <a:solidFill>
                <a:schemeClr val="dk1"/>
              </a:solidFill>
              <a:latin typeface="+mn-lt"/>
            </a:rPr>
            <a:t>Phase 3</a:t>
          </a:r>
        </a:p>
      </xdr:txBody>
    </xdr:sp>
    <xdr:clientData/>
  </xdr:twoCellAnchor>
  <xdr:twoCellAnchor>
    <xdr:from>
      <xdr:col>14</xdr:col>
      <xdr:colOff>0</xdr:colOff>
      <xdr:row>17</xdr:row>
      <xdr:rowOff>44924</xdr:rowOff>
    </xdr:from>
    <xdr:to>
      <xdr:col>18</xdr:col>
      <xdr:colOff>1</xdr:colOff>
      <xdr:row>17</xdr:row>
      <xdr:rowOff>200145</xdr:rowOff>
    </xdr:to>
    <xdr:sp macro="" textlink="">
      <xdr:nvSpPr>
        <xdr:cNvPr id="5" name="Pentagon 4">
          <a:extLst>
            <a:ext uri="{FF2B5EF4-FFF2-40B4-BE49-F238E27FC236}">
              <a16:creationId xmlns:a16="http://schemas.microsoft.com/office/drawing/2014/main" id="{13EC9A07-77A8-4C4C-A74B-3ABB44668806}"/>
            </a:ext>
          </a:extLst>
        </xdr:cNvPr>
        <xdr:cNvSpPr/>
      </xdr:nvSpPr>
      <xdr:spPr>
        <a:xfrm>
          <a:off x="7670800" y="3956524"/>
          <a:ext cx="1270001" cy="155221"/>
        </a:xfrm>
        <a:prstGeom prst="homePlate">
          <a:avLst/>
        </a:prstGeom>
        <a:gradFill flip="none" rotWithShape="1">
          <a:gsLst>
            <a:gs pos="0">
              <a:schemeClr val="accent6"/>
            </a:gs>
            <a:gs pos="49000">
              <a:schemeClr val="accent6">
                <a:lumMod val="20000"/>
                <a:lumOff val="80000"/>
              </a:schemeClr>
            </a:gs>
            <a:gs pos="0">
              <a:schemeClr val="accent6">
                <a:lumMod val="20000"/>
                <a:lumOff val="80000"/>
              </a:schemeClr>
            </a:gs>
            <a:gs pos="100000">
              <a:schemeClr val="accent6"/>
            </a:gs>
          </a:gsLst>
          <a:path path="circle">
            <a:fillToRect l="100000" t="100000"/>
          </a:path>
          <a:tileRect r="-100000" b="-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nchorCtr="1"/>
        <a:lstStyle/>
        <a:p>
          <a:pPr algn="l"/>
          <a:r>
            <a:rPr lang="en-GB" sz="800">
              <a:ln>
                <a:noFill/>
              </a:ln>
              <a:solidFill>
                <a:schemeClr val="dk1"/>
              </a:solidFill>
              <a:latin typeface="+mn-lt"/>
            </a:rPr>
            <a:t>Phase 4</a:t>
          </a:r>
        </a:p>
      </xdr:txBody>
    </xdr:sp>
    <xdr:clientData/>
  </xdr:twoCellAnchor>
  <xdr:twoCellAnchor>
    <xdr:from>
      <xdr:col>18</xdr:col>
      <xdr:colOff>0</xdr:colOff>
      <xdr:row>20</xdr:row>
      <xdr:rowOff>53235</xdr:rowOff>
    </xdr:from>
    <xdr:to>
      <xdr:col>22</xdr:col>
      <xdr:colOff>2</xdr:colOff>
      <xdr:row>20</xdr:row>
      <xdr:rowOff>208456</xdr:rowOff>
    </xdr:to>
    <xdr:sp macro="" textlink="">
      <xdr:nvSpPr>
        <xdr:cNvPr id="6" name="Pentagon 5">
          <a:extLst>
            <a:ext uri="{FF2B5EF4-FFF2-40B4-BE49-F238E27FC236}">
              <a16:creationId xmlns:a16="http://schemas.microsoft.com/office/drawing/2014/main" id="{778FE260-B98C-084A-91EC-F0B3A5032038}"/>
            </a:ext>
          </a:extLst>
        </xdr:cNvPr>
        <xdr:cNvSpPr/>
      </xdr:nvSpPr>
      <xdr:spPr>
        <a:xfrm>
          <a:off x="8940800" y="4688735"/>
          <a:ext cx="1270002" cy="155221"/>
        </a:xfrm>
        <a:prstGeom prst="homePlate">
          <a:avLst/>
        </a:prstGeom>
        <a:gradFill flip="none" rotWithShape="1">
          <a:gsLst>
            <a:gs pos="0">
              <a:schemeClr val="accent6"/>
            </a:gs>
            <a:gs pos="49000">
              <a:schemeClr val="accent6">
                <a:lumMod val="20000"/>
                <a:lumOff val="80000"/>
              </a:schemeClr>
            </a:gs>
            <a:gs pos="0">
              <a:schemeClr val="accent6">
                <a:lumMod val="20000"/>
                <a:lumOff val="80000"/>
              </a:schemeClr>
            </a:gs>
            <a:gs pos="100000">
              <a:schemeClr val="accent6"/>
            </a:gs>
          </a:gsLst>
          <a:path path="circle">
            <a:fillToRect l="100000" t="100000"/>
          </a:path>
          <a:tileRect r="-100000" b="-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nchorCtr="1"/>
        <a:lstStyle/>
        <a:p>
          <a:pPr marL="0" indent="0" algn="l"/>
          <a:r>
            <a:rPr lang="en-GB" sz="800">
              <a:ln>
                <a:noFill/>
              </a:ln>
              <a:solidFill>
                <a:schemeClr val="dk1"/>
              </a:solidFill>
              <a:latin typeface="+mn-lt"/>
              <a:ea typeface="+mn-ea"/>
              <a:cs typeface="+mn-cs"/>
            </a:rPr>
            <a:t>Phase 5</a:t>
          </a:r>
        </a:p>
      </xdr:txBody>
    </xdr:sp>
    <xdr:clientData/>
  </xdr:twoCellAnchor>
  <xdr:twoCellAnchor>
    <xdr:from>
      <xdr:col>21</xdr:col>
      <xdr:colOff>319401</xdr:colOff>
      <xdr:row>23</xdr:row>
      <xdr:rowOff>45630</xdr:rowOff>
    </xdr:from>
    <xdr:to>
      <xdr:col>26</xdr:col>
      <xdr:colOff>1</xdr:colOff>
      <xdr:row>23</xdr:row>
      <xdr:rowOff>200851</xdr:rowOff>
    </xdr:to>
    <xdr:sp macro="" textlink="">
      <xdr:nvSpPr>
        <xdr:cNvPr id="7" name="Pentagon 6">
          <a:extLst>
            <a:ext uri="{FF2B5EF4-FFF2-40B4-BE49-F238E27FC236}">
              <a16:creationId xmlns:a16="http://schemas.microsoft.com/office/drawing/2014/main" id="{0C7457ED-1717-FB42-8611-851F59CB69A8}"/>
            </a:ext>
          </a:extLst>
        </xdr:cNvPr>
        <xdr:cNvSpPr/>
      </xdr:nvSpPr>
      <xdr:spPr>
        <a:xfrm>
          <a:off x="10212701" y="5163730"/>
          <a:ext cx="1268100" cy="155221"/>
        </a:xfrm>
        <a:prstGeom prst="homePlate">
          <a:avLst/>
        </a:prstGeom>
        <a:gradFill flip="none" rotWithShape="1">
          <a:gsLst>
            <a:gs pos="0">
              <a:schemeClr val="accent6"/>
            </a:gs>
            <a:gs pos="49000">
              <a:schemeClr val="accent6">
                <a:lumMod val="20000"/>
                <a:lumOff val="80000"/>
              </a:schemeClr>
            </a:gs>
            <a:gs pos="0">
              <a:schemeClr val="accent6">
                <a:lumMod val="20000"/>
                <a:lumOff val="80000"/>
              </a:schemeClr>
            </a:gs>
            <a:gs pos="100000">
              <a:schemeClr val="accent6"/>
            </a:gs>
          </a:gsLst>
          <a:path path="circle">
            <a:fillToRect l="100000" t="100000"/>
          </a:path>
          <a:tileRect r="-100000" b="-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nchorCtr="1"/>
        <a:lstStyle/>
        <a:p>
          <a:pPr marL="0" indent="0" algn="l"/>
          <a:r>
            <a:rPr lang="en-GB" sz="800">
              <a:ln>
                <a:noFill/>
              </a:ln>
              <a:solidFill>
                <a:schemeClr val="dk1"/>
              </a:solidFill>
              <a:latin typeface="+mn-lt"/>
              <a:ea typeface="+mn-ea"/>
              <a:cs typeface="+mn-cs"/>
            </a:rPr>
            <a:t>Phase 6</a:t>
          </a:r>
        </a:p>
      </xdr:txBody>
    </xdr:sp>
    <xdr:clientData/>
  </xdr:twoCellAnchor>
  <xdr:twoCellAnchor>
    <xdr:from>
      <xdr:col>5</xdr:col>
      <xdr:colOff>288925</xdr:colOff>
      <xdr:row>5</xdr:row>
      <xdr:rowOff>3175</xdr:rowOff>
    </xdr:from>
    <xdr:to>
      <xdr:col>6</xdr:col>
      <xdr:colOff>31750</xdr:colOff>
      <xdr:row>5</xdr:row>
      <xdr:rowOff>66675</xdr:rowOff>
    </xdr:to>
    <xdr:sp macro="" textlink="">
      <xdr:nvSpPr>
        <xdr:cNvPr id="8" name="Merge 7">
          <a:extLst>
            <a:ext uri="{FF2B5EF4-FFF2-40B4-BE49-F238E27FC236}">
              <a16:creationId xmlns:a16="http://schemas.microsoft.com/office/drawing/2014/main" id="{1946573D-8FCF-664A-AAEC-2A0A4D99AB91}"/>
            </a:ext>
          </a:extLst>
        </xdr:cNvPr>
        <xdr:cNvSpPr/>
      </xdr:nvSpPr>
      <xdr:spPr>
        <a:xfrm>
          <a:off x="5102225" y="1019175"/>
          <a:ext cx="60325" cy="63500"/>
        </a:xfrm>
        <a:prstGeom prst="flowChartMerg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285750</xdr:colOff>
      <xdr:row>10</xdr:row>
      <xdr:rowOff>3175</xdr:rowOff>
    </xdr:from>
    <xdr:to>
      <xdr:col>10</xdr:col>
      <xdr:colOff>28575</xdr:colOff>
      <xdr:row>10</xdr:row>
      <xdr:rowOff>66675</xdr:rowOff>
    </xdr:to>
    <xdr:sp macro="" textlink="">
      <xdr:nvSpPr>
        <xdr:cNvPr id="9" name="Merge 8">
          <a:extLst>
            <a:ext uri="{FF2B5EF4-FFF2-40B4-BE49-F238E27FC236}">
              <a16:creationId xmlns:a16="http://schemas.microsoft.com/office/drawing/2014/main" id="{6F51C76E-360C-F346-B50B-CC2B4CFBE5A8}"/>
            </a:ext>
          </a:extLst>
        </xdr:cNvPr>
        <xdr:cNvSpPr/>
      </xdr:nvSpPr>
      <xdr:spPr>
        <a:xfrm>
          <a:off x="6369050" y="2225675"/>
          <a:ext cx="60325" cy="63500"/>
        </a:xfrm>
        <a:prstGeom prst="flowChartMerg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285750</xdr:colOff>
      <xdr:row>14</xdr:row>
      <xdr:rowOff>0</xdr:rowOff>
    </xdr:from>
    <xdr:to>
      <xdr:col>14</xdr:col>
      <xdr:colOff>28575</xdr:colOff>
      <xdr:row>14</xdr:row>
      <xdr:rowOff>63500</xdr:rowOff>
    </xdr:to>
    <xdr:sp macro="" textlink="">
      <xdr:nvSpPr>
        <xdr:cNvPr id="10" name="Merge 9">
          <a:extLst>
            <a:ext uri="{FF2B5EF4-FFF2-40B4-BE49-F238E27FC236}">
              <a16:creationId xmlns:a16="http://schemas.microsoft.com/office/drawing/2014/main" id="{962D57A9-1C12-4D47-BA1C-D254BBAD7283}"/>
            </a:ext>
          </a:extLst>
        </xdr:cNvPr>
        <xdr:cNvSpPr/>
      </xdr:nvSpPr>
      <xdr:spPr>
        <a:xfrm>
          <a:off x="7639050" y="3187700"/>
          <a:ext cx="60325" cy="63500"/>
        </a:xfrm>
        <a:prstGeom prst="flowChartMerg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288925</xdr:colOff>
      <xdr:row>17</xdr:row>
      <xdr:rowOff>0</xdr:rowOff>
    </xdr:from>
    <xdr:to>
      <xdr:col>18</xdr:col>
      <xdr:colOff>31750</xdr:colOff>
      <xdr:row>17</xdr:row>
      <xdr:rowOff>63500</xdr:rowOff>
    </xdr:to>
    <xdr:sp macro="" textlink="">
      <xdr:nvSpPr>
        <xdr:cNvPr id="11" name="Merge 10">
          <a:extLst>
            <a:ext uri="{FF2B5EF4-FFF2-40B4-BE49-F238E27FC236}">
              <a16:creationId xmlns:a16="http://schemas.microsoft.com/office/drawing/2014/main" id="{7BAC1D06-3E1B-C942-A6D2-3203ED839277}"/>
            </a:ext>
          </a:extLst>
        </xdr:cNvPr>
        <xdr:cNvSpPr/>
      </xdr:nvSpPr>
      <xdr:spPr>
        <a:xfrm>
          <a:off x="8912225" y="3911600"/>
          <a:ext cx="60325" cy="63500"/>
        </a:xfrm>
        <a:prstGeom prst="flowChartMerg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288925</xdr:colOff>
      <xdr:row>20</xdr:row>
      <xdr:rowOff>0</xdr:rowOff>
    </xdr:from>
    <xdr:to>
      <xdr:col>22</xdr:col>
      <xdr:colOff>31750</xdr:colOff>
      <xdr:row>20</xdr:row>
      <xdr:rowOff>63500</xdr:rowOff>
    </xdr:to>
    <xdr:sp macro="" textlink="">
      <xdr:nvSpPr>
        <xdr:cNvPr id="12" name="Merge 11">
          <a:extLst>
            <a:ext uri="{FF2B5EF4-FFF2-40B4-BE49-F238E27FC236}">
              <a16:creationId xmlns:a16="http://schemas.microsoft.com/office/drawing/2014/main" id="{5B35C711-3879-3C4D-AE95-AB3D27B52F11}"/>
            </a:ext>
          </a:extLst>
        </xdr:cNvPr>
        <xdr:cNvSpPr/>
      </xdr:nvSpPr>
      <xdr:spPr>
        <a:xfrm>
          <a:off x="10182225" y="4635500"/>
          <a:ext cx="60325" cy="63500"/>
        </a:xfrm>
        <a:prstGeom prst="flowChartMerg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285750</xdr:colOff>
      <xdr:row>23</xdr:row>
      <xdr:rowOff>0</xdr:rowOff>
    </xdr:from>
    <xdr:to>
      <xdr:col>26</xdr:col>
      <xdr:colOff>28575</xdr:colOff>
      <xdr:row>23</xdr:row>
      <xdr:rowOff>63500</xdr:rowOff>
    </xdr:to>
    <xdr:sp macro="" textlink="">
      <xdr:nvSpPr>
        <xdr:cNvPr id="13" name="Merge 12">
          <a:extLst>
            <a:ext uri="{FF2B5EF4-FFF2-40B4-BE49-F238E27FC236}">
              <a16:creationId xmlns:a16="http://schemas.microsoft.com/office/drawing/2014/main" id="{0F5443BC-6229-BD46-ABAE-2DE86F1A36F4}"/>
            </a:ext>
          </a:extLst>
        </xdr:cNvPr>
        <xdr:cNvSpPr/>
      </xdr:nvSpPr>
      <xdr:spPr>
        <a:xfrm>
          <a:off x="11449050" y="5118100"/>
          <a:ext cx="60325" cy="63500"/>
        </a:xfrm>
        <a:prstGeom prst="flowChartMerg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vertex42.com/ExcelTemplates/simple-gantt-chart.html?utm_source=ms&amp;utm_medium=file&amp;utm_campaign=office&amp;utm_content=url" TargetMode="External"/><Relationship Id="rId1"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525F0-99B6-E249-9F4C-8131229BD438}">
  <sheetPr>
    <pageSetUpPr fitToPage="1"/>
  </sheetPr>
  <dimension ref="A1:Z34"/>
  <sheetViews>
    <sheetView showGridLines="0" zoomScale="125" zoomScaleNormal="100" workbookViewId="0">
      <selection activeCell="B17" sqref="B17"/>
    </sheetView>
  </sheetViews>
  <sheetFormatPr baseColWidth="10" defaultColWidth="8.83203125" defaultRowHeight="15" x14ac:dyDescent="0.2"/>
  <cols>
    <col min="1" max="1" width="67.33203125" bestFit="1" customWidth="1"/>
    <col min="2" max="2" width="12.1640625" customWidth="1"/>
    <col min="3" max="26" width="4.1640625" customWidth="1"/>
  </cols>
  <sheetData>
    <row r="1" spans="1:26" ht="20" x14ac:dyDescent="0.2">
      <c r="A1" s="102" t="s">
        <v>0</v>
      </c>
      <c r="B1" s="101"/>
      <c r="C1" s="101"/>
      <c r="D1" s="101"/>
      <c r="E1" s="101"/>
      <c r="F1" s="101"/>
      <c r="G1" s="101"/>
      <c r="H1" s="101"/>
      <c r="I1" s="101"/>
      <c r="J1" s="101"/>
      <c r="K1" s="101"/>
      <c r="L1" s="101"/>
      <c r="M1" s="101"/>
      <c r="N1" s="101"/>
      <c r="O1" s="101"/>
      <c r="P1" s="101"/>
      <c r="Q1" s="101"/>
      <c r="R1" s="101"/>
      <c r="S1" s="101"/>
      <c r="T1" s="101"/>
      <c r="U1" s="101"/>
      <c r="V1" s="101"/>
      <c r="W1" s="101"/>
      <c r="X1" s="101"/>
    </row>
    <row r="2" spans="1:26" x14ac:dyDescent="0.2">
      <c r="A2" s="104" t="s">
        <v>1</v>
      </c>
      <c r="B2" s="101"/>
      <c r="C2" s="101"/>
      <c r="D2" s="101"/>
      <c r="E2" s="101"/>
      <c r="F2" s="101"/>
      <c r="G2" s="101"/>
      <c r="H2" s="101"/>
      <c r="I2" s="101"/>
      <c r="J2" s="101"/>
      <c r="K2" s="101"/>
      <c r="L2" s="101"/>
      <c r="M2" s="101"/>
      <c r="N2" s="101"/>
      <c r="O2" s="101"/>
      <c r="P2" s="101"/>
      <c r="Q2" s="101"/>
      <c r="R2" s="101"/>
      <c r="S2" s="101"/>
      <c r="T2" s="101"/>
      <c r="U2" s="101"/>
      <c r="V2" s="101"/>
      <c r="W2" s="101"/>
      <c r="X2" s="101"/>
    </row>
    <row r="4" spans="1:26" x14ac:dyDescent="0.2">
      <c r="A4" s="100" t="s">
        <v>2</v>
      </c>
      <c r="B4" s="101"/>
      <c r="C4" s="100" t="s">
        <v>3</v>
      </c>
      <c r="D4" s="101"/>
      <c r="E4" s="101"/>
      <c r="F4" s="101"/>
      <c r="G4" s="101"/>
      <c r="H4" s="101"/>
      <c r="I4" s="101"/>
      <c r="J4" s="101"/>
      <c r="K4" s="101"/>
      <c r="L4" s="101"/>
      <c r="M4" s="101"/>
      <c r="N4" s="101"/>
      <c r="O4" s="100" t="s">
        <v>4</v>
      </c>
      <c r="P4" s="101"/>
      <c r="Q4" s="101"/>
      <c r="R4" s="101"/>
      <c r="S4" s="101"/>
      <c r="T4" s="101"/>
      <c r="U4" s="101"/>
      <c r="V4" s="101"/>
      <c r="W4" s="101"/>
      <c r="X4" s="101"/>
      <c r="Y4" s="101"/>
      <c r="Z4" s="101"/>
    </row>
    <row r="5" spans="1:26" x14ac:dyDescent="0.2">
      <c r="A5" s="93" t="s">
        <v>5</v>
      </c>
      <c r="B5" s="93" t="s">
        <v>6</v>
      </c>
      <c r="C5" s="94" t="s">
        <v>7</v>
      </c>
      <c r="D5" s="94" t="s">
        <v>8</v>
      </c>
      <c r="E5" s="94" t="s">
        <v>9</v>
      </c>
      <c r="F5" s="94" t="s">
        <v>10</v>
      </c>
      <c r="G5" s="94" t="s">
        <v>11</v>
      </c>
      <c r="H5" s="94" t="s">
        <v>12</v>
      </c>
      <c r="I5" s="94" t="s">
        <v>13</v>
      </c>
      <c r="J5" s="94" t="s">
        <v>14</v>
      </c>
      <c r="K5" s="94" t="s">
        <v>15</v>
      </c>
      <c r="L5" s="94" t="s">
        <v>16</v>
      </c>
      <c r="M5" s="94" t="s">
        <v>17</v>
      </c>
      <c r="N5" s="94" t="s">
        <v>18</v>
      </c>
      <c r="O5" s="95" t="s">
        <v>7</v>
      </c>
      <c r="P5" s="95" t="s">
        <v>8</v>
      </c>
      <c r="Q5" s="95" t="s">
        <v>9</v>
      </c>
      <c r="R5" s="95" t="s">
        <v>10</v>
      </c>
      <c r="S5" s="95" t="s">
        <v>11</v>
      </c>
      <c r="T5" s="95" t="s">
        <v>12</v>
      </c>
      <c r="U5" s="95" t="s">
        <v>13</v>
      </c>
      <c r="V5" s="95" t="s">
        <v>14</v>
      </c>
      <c r="W5" s="95" t="s">
        <v>15</v>
      </c>
      <c r="X5" s="95" t="s">
        <v>16</v>
      </c>
      <c r="Y5" s="95" t="s">
        <v>17</v>
      </c>
      <c r="Z5" s="95" t="s">
        <v>18</v>
      </c>
    </row>
    <row r="6" spans="1:26" ht="19" customHeight="1" x14ac:dyDescent="0.2">
      <c r="A6" s="96" t="s">
        <v>19</v>
      </c>
      <c r="B6" s="97"/>
      <c r="C6" s="98"/>
      <c r="D6" s="98"/>
      <c r="E6" s="98"/>
      <c r="F6" s="98"/>
      <c r="G6" s="98"/>
      <c r="H6" s="98"/>
      <c r="I6" s="98"/>
      <c r="J6" s="98"/>
      <c r="K6" s="98"/>
      <c r="L6" s="98"/>
      <c r="M6" s="98"/>
      <c r="N6" s="98"/>
      <c r="O6" s="98"/>
      <c r="P6" s="98"/>
      <c r="Q6" s="98"/>
      <c r="R6" s="98"/>
      <c r="S6" s="98"/>
      <c r="T6" s="98"/>
      <c r="U6" s="98"/>
      <c r="V6" s="98"/>
      <c r="W6" s="98"/>
      <c r="X6" s="98"/>
      <c r="Y6" s="98"/>
      <c r="Z6" s="98"/>
    </row>
    <row r="7" spans="1:26" ht="19" customHeight="1" x14ac:dyDescent="0.2">
      <c r="A7" s="97" t="s">
        <v>80</v>
      </c>
      <c r="B7" s="97"/>
      <c r="C7" s="119"/>
      <c r="D7" s="98"/>
      <c r="E7" s="98"/>
      <c r="F7" s="98"/>
      <c r="G7" s="98"/>
      <c r="H7" s="98"/>
      <c r="I7" s="98"/>
      <c r="J7" s="98"/>
      <c r="K7" s="98"/>
      <c r="L7" s="98"/>
      <c r="M7" s="98"/>
      <c r="N7" s="98"/>
      <c r="O7" s="98"/>
      <c r="P7" s="98"/>
      <c r="Q7" s="98"/>
      <c r="R7" s="98"/>
      <c r="S7" s="98"/>
      <c r="T7" s="98"/>
      <c r="U7" s="98"/>
      <c r="V7" s="98"/>
      <c r="W7" s="98"/>
      <c r="X7" s="98"/>
      <c r="Y7" s="98"/>
      <c r="Z7" s="98"/>
    </row>
    <row r="8" spans="1:26" ht="19" customHeight="1" x14ac:dyDescent="0.2">
      <c r="A8" s="97" t="s">
        <v>81</v>
      </c>
      <c r="B8" s="97"/>
      <c r="C8" s="98"/>
      <c r="D8" s="119"/>
      <c r="E8" s="119"/>
      <c r="F8" s="98"/>
      <c r="G8" s="98"/>
      <c r="H8" s="98"/>
      <c r="I8" s="98"/>
      <c r="J8" s="98"/>
      <c r="K8" s="98"/>
      <c r="L8" s="98"/>
      <c r="M8" s="98"/>
      <c r="N8" s="98"/>
      <c r="O8" s="98"/>
      <c r="P8" s="98"/>
      <c r="Q8" s="98"/>
      <c r="R8" s="98"/>
      <c r="S8" s="98"/>
      <c r="T8" s="98"/>
      <c r="U8" s="98"/>
      <c r="V8" s="98"/>
      <c r="W8" s="98"/>
      <c r="X8" s="98"/>
      <c r="Y8" s="98"/>
      <c r="Z8" s="98"/>
    </row>
    <row r="9" spans="1:26" ht="19" customHeight="1" x14ac:dyDescent="0.2">
      <c r="A9" s="118" t="s">
        <v>82</v>
      </c>
      <c r="B9" s="97"/>
      <c r="C9" s="98"/>
      <c r="D9" s="98"/>
      <c r="E9" s="98"/>
      <c r="F9" s="119"/>
      <c r="G9" s="98"/>
      <c r="H9" s="98"/>
      <c r="I9" s="98"/>
      <c r="J9" s="98"/>
      <c r="K9" s="98"/>
      <c r="L9" s="98"/>
      <c r="M9" s="98"/>
      <c r="N9" s="98"/>
      <c r="O9" s="98"/>
      <c r="P9" s="98"/>
      <c r="Q9" s="98"/>
      <c r="R9" s="98"/>
      <c r="S9" s="98"/>
      <c r="T9" s="98"/>
      <c r="U9" s="98"/>
      <c r="V9" s="98"/>
      <c r="W9" s="98"/>
      <c r="X9" s="98"/>
      <c r="Y9" s="98"/>
      <c r="Z9" s="98"/>
    </row>
    <row r="10" spans="1:26" ht="19" customHeight="1" x14ac:dyDescent="0.2">
      <c r="A10" s="118" t="s">
        <v>83</v>
      </c>
      <c r="B10" s="97"/>
      <c r="C10" s="98"/>
      <c r="D10" s="98"/>
      <c r="E10" s="98"/>
      <c r="F10" s="119"/>
      <c r="G10" s="98"/>
      <c r="H10" s="98"/>
      <c r="I10" s="98"/>
      <c r="J10" s="98"/>
      <c r="K10" s="98"/>
      <c r="L10" s="98"/>
      <c r="M10" s="98"/>
      <c r="N10" s="98"/>
      <c r="O10" s="98"/>
      <c r="P10" s="98"/>
      <c r="Q10" s="98"/>
      <c r="R10" s="98"/>
      <c r="S10" s="98"/>
      <c r="T10" s="98"/>
      <c r="U10" s="98"/>
      <c r="V10" s="98"/>
      <c r="W10" s="98"/>
      <c r="X10" s="98"/>
      <c r="Y10" s="98"/>
      <c r="Z10" s="98"/>
    </row>
    <row r="11" spans="1:26" ht="19" customHeight="1" x14ac:dyDescent="0.2">
      <c r="A11" s="96" t="s">
        <v>20</v>
      </c>
      <c r="B11" s="97"/>
      <c r="C11" s="98"/>
      <c r="D11" s="98"/>
      <c r="E11" s="98"/>
      <c r="F11" s="98"/>
      <c r="G11" s="98"/>
      <c r="H11" s="98"/>
      <c r="I11" s="98"/>
      <c r="J11" s="98"/>
      <c r="K11" s="98"/>
      <c r="L11" s="98"/>
      <c r="M11" s="98"/>
      <c r="N11" s="98"/>
      <c r="O11" s="98"/>
      <c r="P11" s="98"/>
      <c r="Q11" s="98"/>
      <c r="R11" s="98"/>
      <c r="S11" s="98"/>
      <c r="T11" s="98"/>
      <c r="U11" s="98"/>
      <c r="V11" s="98"/>
      <c r="W11" s="98"/>
      <c r="X11" s="98"/>
      <c r="Y11" s="98"/>
      <c r="Z11" s="98"/>
    </row>
    <row r="12" spans="1:26" ht="19" customHeight="1" x14ac:dyDescent="0.2">
      <c r="A12" s="118" t="s">
        <v>85</v>
      </c>
      <c r="B12" s="97"/>
      <c r="C12" s="98"/>
      <c r="D12" s="98"/>
      <c r="E12" s="98"/>
      <c r="F12" s="120"/>
      <c r="G12" s="120"/>
      <c r="H12" s="120"/>
      <c r="I12" s="120"/>
      <c r="J12" s="98"/>
      <c r="K12" s="98"/>
      <c r="L12" s="98"/>
      <c r="M12" s="98"/>
      <c r="N12" s="98"/>
      <c r="O12" s="98"/>
      <c r="P12" s="98"/>
      <c r="Q12" s="98"/>
      <c r="R12" s="98"/>
      <c r="S12" s="98"/>
      <c r="T12" s="98"/>
      <c r="U12" s="98"/>
      <c r="V12" s="98"/>
      <c r="W12" s="98"/>
      <c r="X12" s="98"/>
      <c r="Y12" s="98"/>
      <c r="Z12" s="98"/>
    </row>
    <row r="13" spans="1:26" ht="19" customHeight="1" x14ac:dyDescent="0.2">
      <c r="A13" s="118" t="s">
        <v>86</v>
      </c>
      <c r="B13" s="97"/>
      <c r="C13" s="98"/>
      <c r="D13" s="98"/>
      <c r="E13" s="98"/>
      <c r="F13" s="98"/>
      <c r="G13" s="120"/>
      <c r="H13" s="120"/>
      <c r="I13" s="120"/>
      <c r="J13" s="120"/>
      <c r="K13" s="98"/>
      <c r="L13" s="98"/>
      <c r="M13" s="98"/>
      <c r="N13" s="98"/>
      <c r="O13" s="98"/>
      <c r="P13" s="98"/>
      <c r="Q13" s="98"/>
      <c r="R13" s="98"/>
      <c r="S13" s="98"/>
      <c r="T13" s="98"/>
      <c r="U13" s="98"/>
      <c r="V13" s="98"/>
      <c r="W13" s="98"/>
      <c r="X13" s="98"/>
      <c r="Y13" s="98"/>
      <c r="Z13" s="98"/>
    </row>
    <row r="14" spans="1:26" ht="19" customHeight="1" x14ac:dyDescent="0.2">
      <c r="A14" s="118" t="s">
        <v>84</v>
      </c>
      <c r="B14" s="97"/>
      <c r="C14" s="98"/>
      <c r="D14" s="98"/>
      <c r="E14" s="98"/>
      <c r="F14" s="98"/>
      <c r="G14" s="98"/>
      <c r="H14" s="120"/>
      <c r="I14" s="120"/>
      <c r="J14" s="120"/>
      <c r="K14" s="98"/>
      <c r="L14" s="98"/>
      <c r="M14" s="98"/>
      <c r="N14" s="98"/>
      <c r="O14" s="98"/>
      <c r="P14" s="98"/>
      <c r="Q14" s="98"/>
      <c r="R14" s="98"/>
      <c r="S14" s="98"/>
      <c r="T14" s="98"/>
      <c r="U14" s="98"/>
      <c r="V14" s="98"/>
      <c r="W14" s="98"/>
      <c r="X14" s="98"/>
      <c r="Y14" s="98"/>
      <c r="Z14" s="98"/>
    </row>
    <row r="15" spans="1:26" ht="19" customHeight="1" x14ac:dyDescent="0.2">
      <c r="A15" s="96" t="s">
        <v>21</v>
      </c>
      <c r="B15" s="97"/>
      <c r="C15" s="98"/>
      <c r="D15" s="98"/>
      <c r="E15" s="98"/>
      <c r="F15" s="98"/>
      <c r="G15" s="98"/>
      <c r="H15" s="98"/>
      <c r="I15" s="98"/>
      <c r="J15" s="98"/>
      <c r="K15" s="98"/>
      <c r="L15" s="98"/>
      <c r="M15" s="98"/>
      <c r="N15" s="98"/>
      <c r="O15" s="98"/>
      <c r="P15" s="98"/>
      <c r="Q15" s="98"/>
      <c r="R15" s="98"/>
      <c r="S15" s="98"/>
      <c r="T15" s="98"/>
      <c r="U15" s="98"/>
      <c r="V15" s="98"/>
      <c r="W15" s="98"/>
      <c r="X15" s="98"/>
      <c r="Y15" s="98"/>
      <c r="Z15" s="98"/>
    </row>
    <row r="16" spans="1:26" ht="19" customHeight="1" x14ac:dyDescent="0.2">
      <c r="A16" s="97" t="s">
        <v>87</v>
      </c>
      <c r="B16" s="97"/>
      <c r="C16" s="98"/>
      <c r="D16" s="98"/>
      <c r="E16" s="98"/>
      <c r="F16" s="98"/>
      <c r="G16" s="98"/>
      <c r="H16" s="98"/>
      <c r="I16" s="126"/>
      <c r="J16" s="126"/>
      <c r="K16" s="127"/>
      <c r="L16" s="127"/>
      <c r="M16" s="127"/>
      <c r="N16" s="98"/>
      <c r="O16" s="98"/>
      <c r="P16" s="98"/>
      <c r="Q16" s="98"/>
      <c r="R16" s="98"/>
      <c r="S16" s="98"/>
      <c r="T16" s="98"/>
      <c r="U16" s="98"/>
      <c r="V16" s="98"/>
      <c r="W16" s="98"/>
      <c r="X16" s="98"/>
      <c r="Y16" s="98"/>
      <c r="Z16" s="98"/>
    </row>
    <row r="17" spans="1:26" ht="19" customHeight="1" x14ac:dyDescent="0.2">
      <c r="A17" s="97" t="s">
        <v>88</v>
      </c>
      <c r="B17" s="97"/>
      <c r="C17" s="98"/>
      <c r="D17" s="98"/>
      <c r="E17" s="98"/>
      <c r="F17" s="98"/>
      <c r="G17" s="98"/>
      <c r="H17" s="98"/>
      <c r="I17" s="98"/>
      <c r="J17" s="98"/>
      <c r="K17" s="98"/>
      <c r="L17" s="98"/>
      <c r="M17" s="127"/>
      <c r="N17" s="127"/>
      <c r="O17" s="98"/>
      <c r="P17" s="98"/>
      <c r="Q17" s="98"/>
      <c r="R17" s="98"/>
      <c r="S17" s="98"/>
      <c r="T17" s="98"/>
      <c r="U17" s="98"/>
      <c r="V17" s="98"/>
      <c r="W17" s="98"/>
      <c r="X17" s="98"/>
      <c r="Y17" s="98"/>
      <c r="Z17" s="98"/>
    </row>
    <row r="18" spans="1:26" ht="19" customHeight="1" x14ac:dyDescent="0.2">
      <c r="A18" s="96" t="s">
        <v>22</v>
      </c>
      <c r="B18" s="97"/>
      <c r="C18" s="98"/>
      <c r="D18" s="98"/>
      <c r="E18" s="98"/>
      <c r="F18" s="98"/>
      <c r="G18" s="98"/>
      <c r="H18" s="98"/>
      <c r="I18" s="98"/>
      <c r="J18" s="98"/>
      <c r="K18" s="98"/>
      <c r="L18" s="98"/>
      <c r="M18" s="98"/>
      <c r="N18" s="98"/>
      <c r="O18" s="98"/>
      <c r="P18" s="98"/>
      <c r="Q18" s="98"/>
      <c r="R18" s="98"/>
      <c r="S18" s="98"/>
      <c r="T18" s="98"/>
      <c r="U18" s="98"/>
      <c r="V18" s="98"/>
      <c r="W18" s="98"/>
      <c r="X18" s="98"/>
      <c r="Y18" s="98"/>
      <c r="Z18" s="98"/>
    </row>
    <row r="19" spans="1:26" ht="19" customHeight="1" x14ac:dyDescent="0.2">
      <c r="A19" s="97" t="s">
        <v>89</v>
      </c>
      <c r="B19" s="97"/>
      <c r="C19" s="98"/>
      <c r="D19" s="98"/>
      <c r="E19" s="98"/>
      <c r="F19" s="98"/>
      <c r="G19" s="98"/>
      <c r="H19" s="98"/>
      <c r="I19" s="98"/>
      <c r="J19" s="98"/>
      <c r="K19" s="98"/>
      <c r="L19" s="98"/>
      <c r="M19" s="98"/>
      <c r="N19" s="98"/>
      <c r="O19" s="128"/>
      <c r="P19" s="128"/>
      <c r="Q19" s="128"/>
      <c r="R19" s="98"/>
      <c r="S19" s="98"/>
      <c r="T19" s="98"/>
      <c r="U19" s="98"/>
      <c r="V19" s="98"/>
      <c r="W19" s="98"/>
      <c r="X19" s="98"/>
      <c r="Y19" s="98"/>
      <c r="Z19" s="98"/>
    </row>
    <row r="20" spans="1:26" ht="19" customHeight="1" x14ac:dyDescent="0.2">
      <c r="A20" s="97" t="s">
        <v>90</v>
      </c>
      <c r="B20" s="97"/>
      <c r="C20" s="98"/>
      <c r="D20" s="98"/>
      <c r="E20" s="98"/>
      <c r="F20" s="98"/>
      <c r="G20" s="98"/>
      <c r="H20" s="98"/>
      <c r="I20" s="98"/>
      <c r="J20" s="98"/>
      <c r="K20" s="98"/>
      <c r="L20" s="98"/>
      <c r="M20" s="98"/>
      <c r="N20" s="98"/>
      <c r="O20" s="98"/>
      <c r="P20" s="98"/>
      <c r="Q20" s="128"/>
      <c r="R20" s="128"/>
      <c r="S20" s="98"/>
      <c r="T20" s="98"/>
      <c r="U20" s="98"/>
      <c r="V20" s="98"/>
      <c r="W20" s="98"/>
      <c r="X20" s="98"/>
      <c r="Y20" s="98"/>
      <c r="Z20" s="98"/>
    </row>
    <row r="21" spans="1:26" s="125" customFormat="1" ht="19" customHeight="1" x14ac:dyDescent="0.2">
      <c r="A21" s="123" t="s">
        <v>23</v>
      </c>
      <c r="B21" s="118"/>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row>
    <row r="22" spans="1:26" ht="19" customHeight="1" x14ac:dyDescent="0.2">
      <c r="A22" s="97" t="s">
        <v>91</v>
      </c>
      <c r="B22" s="97"/>
      <c r="C22" s="98"/>
      <c r="D22" s="98"/>
      <c r="E22" s="98"/>
      <c r="F22" s="98"/>
      <c r="G22" s="98"/>
      <c r="H22" s="98"/>
      <c r="I22" s="98"/>
      <c r="J22" s="98"/>
      <c r="K22" s="98"/>
      <c r="L22" s="98"/>
      <c r="M22" s="98"/>
      <c r="N22" s="98"/>
      <c r="O22" s="98"/>
      <c r="P22" s="98"/>
      <c r="Q22" s="98"/>
      <c r="R22" s="98"/>
      <c r="S22" s="129"/>
      <c r="T22" s="129"/>
      <c r="U22" s="98"/>
      <c r="V22" s="98"/>
      <c r="W22" s="98"/>
      <c r="X22" s="98"/>
      <c r="Y22" s="98"/>
      <c r="Z22" s="98"/>
    </row>
    <row r="23" spans="1:26" ht="19" customHeight="1" x14ac:dyDescent="0.2">
      <c r="A23" s="97" t="s">
        <v>92</v>
      </c>
      <c r="B23" s="97"/>
      <c r="C23" s="98"/>
      <c r="D23" s="98"/>
      <c r="E23" s="98"/>
      <c r="F23" s="98"/>
      <c r="G23" s="98"/>
      <c r="H23" s="98"/>
      <c r="I23" s="98"/>
      <c r="J23" s="98"/>
      <c r="K23" s="98"/>
      <c r="L23" s="98"/>
      <c r="M23" s="98"/>
      <c r="N23" s="98"/>
      <c r="O23" s="98"/>
      <c r="P23" s="98"/>
      <c r="Q23" s="98"/>
      <c r="R23" s="98"/>
      <c r="S23" s="98"/>
      <c r="T23" s="98"/>
      <c r="U23" s="129"/>
      <c r="V23" s="129"/>
      <c r="W23" s="98"/>
      <c r="X23" s="98"/>
      <c r="Y23" s="98"/>
      <c r="Z23" s="98"/>
    </row>
    <row r="24" spans="1:26" s="125" customFormat="1" ht="19" customHeight="1" x14ac:dyDescent="0.2">
      <c r="A24" s="123" t="s">
        <v>24</v>
      </c>
      <c r="B24" s="118"/>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row>
    <row r="25" spans="1:26" ht="19" customHeight="1" x14ac:dyDescent="0.2">
      <c r="A25" s="97" t="s">
        <v>94</v>
      </c>
      <c r="B25" s="97"/>
      <c r="C25" s="98"/>
      <c r="D25" s="98"/>
      <c r="E25" s="98"/>
      <c r="F25" s="98"/>
      <c r="G25" s="98"/>
      <c r="H25" s="98"/>
      <c r="I25" s="98"/>
      <c r="J25" s="98"/>
      <c r="K25" s="98"/>
      <c r="L25" s="98"/>
      <c r="M25" s="98"/>
      <c r="N25" s="98"/>
      <c r="O25" s="98"/>
      <c r="P25" s="98"/>
      <c r="Q25" s="98"/>
      <c r="R25" s="98"/>
      <c r="S25" s="124"/>
      <c r="T25" s="124"/>
      <c r="U25" s="124"/>
      <c r="V25" s="124"/>
      <c r="W25" s="130"/>
      <c r="X25" s="130"/>
      <c r="Y25" s="98"/>
      <c r="Z25" s="98"/>
    </row>
    <row r="26" spans="1:26" ht="19" customHeight="1" x14ac:dyDescent="0.2">
      <c r="A26" s="97" t="s">
        <v>73</v>
      </c>
      <c r="B26" s="97"/>
      <c r="C26" s="98"/>
      <c r="D26" s="98"/>
      <c r="E26" s="98"/>
      <c r="F26" s="98"/>
      <c r="G26" s="98"/>
      <c r="H26" s="98"/>
      <c r="I26" s="98"/>
      <c r="J26" s="98"/>
      <c r="K26" s="98"/>
      <c r="L26" s="98"/>
      <c r="M26" s="98"/>
      <c r="N26" s="98"/>
      <c r="O26" s="98"/>
      <c r="P26" s="98"/>
      <c r="Q26" s="98"/>
      <c r="R26" s="98"/>
      <c r="S26" s="124"/>
      <c r="T26" s="124"/>
      <c r="U26" s="124"/>
      <c r="V26" s="124"/>
      <c r="W26" s="130"/>
      <c r="X26" s="130"/>
      <c r="Y26" s="98"/>
      <c r="Z26" s="98"/>
    </row>
    <row r="27" spans="1:26" ht="19" customHeight="1" x14ac:dyDescent="0.2">
      <c r="A27" s="97" t="s">
        <v>93</v>
      </c>
      <c r="B27" s="97"/>
      <c r="C27" s="98"/>
      <c r="D27" s="98"/>
      <c r="E27" s="98"/>
      <c r="F27" s="98"/>
      <c r="G27" s="98"/>
      <c r="H27" s="98"/>
      <c r="I27" s="98"/>
      <c r="J27" s="98"/>
      <c r="K27" s="98"/>
      <c r="L27" s="98"/>
      <c r="M27" s="98"/>
      <c r="N27" s="98"/>
      <c r="O27" s="98"/>
      <c r="P27" s="98"/>
      <c r="Q27" s="98"/>
      <c r="R27" s="98"/>
      <c r="S27" s="124"/>
      <c r="T27" s="124"/>
      <c r="U27" s="124"/>
      <c r="V27" s="124"/>
      <c r="W27" s="98"/>
      <c r="X27" s="98"/>
      <c r="Y27" s="130"/>
      <c r="Z27" s="130"/>
    </row>
    <row r="28" spans="1:26" x14ac:dyDescent="0.2">
      <c r="A28" s="103" t="s">
        <v>25</v>
      </c>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spans="1:26" ht="17" customHeight="1" x14ac:dyDescent="0.2">
      <c r="A29" s="99" t="s">
        <v>77</v>
      </c>
      <c r="B29" s="121" t="s">
        <v>26</v>
      </c>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row>
    <row r="30" spans="1:26" ht="17" customHeight="1" x14ac:dyDescent="0.2">
      <c r="A30" s="99" t="s">
        <v>78</v>
      </c>
      <c r="B30" s="122" t="s">
        <v>27</v>
      </c>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row>
    <row r="31" spans="1:26" ht="17" customHeight="1" x14ac:dyDescent="0.2">
      <c r="A31" s="99" t="s">
        <v>79</v>
      </c>
      <c r="B31" s="122" t="s">
        <v>28</v>
      </c>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row>
    <row r="32" spans="1:26" ht="17" customHeight="1" x14ac:dyDescent="0.2">
      <c r="A32" s="99" t="s">
        <v>74</v>
      </c>
      <c r="B32" s="122" t="s">
        <v>29</v>
      </c>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row>
    <row r="33" spans="1:26" ht="17" customHeight="1" x14ac:dyDescent="0.2">
      <c r="A33" s="99" t="s">
        <v>75</v>
      </c>
      <c r="B33" s="122" t="s">
        <v>30</v>
      </c>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row>
    <row r="34" spans="1:26" ht="17" customHeight="1" x14ac:dyDescent="0.2">
      <c r="A34" s="99" t="s">
        <v>76</v>
      </c>
      <c r="B34" s="122" t="s">
        <v>95</v>
      </c>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row>
  </sheetData>
  <mergeCells count="12">
    <mergeCell ref="B29:Z29"/>
    <mergeCell ref="B30:Z30"/>
    <mergeCell ref="B31:Z31"/>
    <mergeCell ref="B32:Z32"/>
    <mergeCell ref="B33:Z33"/>
    <mergeCell ref="B34:Z34"/>
    <mergeCell ref="A1:X1"/>
    <mergeCell ref="A2:X2"/>
    <mergeCell ref="A4:B4"/>
    <mergeCell ref="C4:N4"/>
    <mergeCell ref="O4:Z4"/>
    <mergeCell ref="A28:Z28"/>
  </mergeCells>
  <pageMargins left="0.75" right="0.75" top="1" bottom="1" header="0.5" footer="0.5"/>
  <pageSetup paperSize="8" scale="73" orientation="landscape"/>
  <headerFooter>
    <oddHeader>&amp;C&amp;F&amp;F&amp;F</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97CBF-33A5-0B45-B77F-CA7F36E5792D}">
  <dimension ref="A1"/>
  <sheetViews>
    <sheetView workbookViewId="0">
      <selection sqref="A1:AB21"/>
    </sheetView>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N36"/>
  <sheetViews>
    <sheetView showGridLines="0" tabSelected="1" showRuler="0" zoomScale="117" zoomScaleNormal="117" zoomScalePageLayoutView="70" workbookViewId="0">
      <selection activeCell="D9" sqref="D9"/>
    </sheetView>
  </sheetViews>
  <sheetFormatPr baseColWidth="10" defaultColWidth="8.6640625" defaultRowHeight="30" customHeight="1" x14ac:dyDescent="0.2"/>
  <cols>
    <col min="1" max="1" width="2.6640625" style="7"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93" width="2.6640625" customWidth="1"/>
  </cols>
  <sheetData>
    <row r="1" spans="1:92" ht="90" customHeight="1" x14ac:dyDescent="0.6">
      <c r="A1" s="8"/>
      <c r="B1" s="92" t="s">
        <v>32</v>
      </c>
      <c r="C1" s="12"/>
      <c r="D1" s="13"/>
      <c r="E1" s="14"/>
      <c r="F1" s="15"/>
      <c r="H1" s="1"/>
      <c r="I1" s="107" t="s">
        <v>33</v>
      </c>
      <c r="J1" s="101"/>
      <c r="K1" s="101"/>
      <c r="L1" s="101"/>
      <c r="M1" s="101"/>
      <c r="N1" s="101"/>
      <c r="O1" s="101"/>
      <c r="P1" s="18"/>
      <c r="Q1" s="116">
        <v>46286</v>
      </c>
      <c r="R1" s="101"/>
      <c r="S1" s="101"/>
      <c r="T1" s="101"/>
      <c r="U1" s="101"/>
      <c r="V1" s="101"/>
      <c r="W1" s="101"/>
      <c r="X1" s="101"/>
      <c r="Y1" s="101"/>
      <c r="Z1" s="101"/>
    </row>
    <row r="2" spans="1:92" ht="30" customHeight="1" x14ac:dyDescent="0.3">
      <c r="B2" s="90" t="s">
        <v>34</v>
      </c>
      <c r="C2" s="91" t="s">
        <v>35</v>
      </c>
      <c r="D2" s="16"/>
      <c r="E2" s="17"/>
      <c r="F2" s="16"/>
      <c r="I2" s="107" t="s">
        <v>36</v>
      </c>
      <c r="J2" s="101"/>
      <c r="K2" s="101"/>
      <c r="L2" s="101"/>
      <c r="M2" s="101"/>
      <c r="N2" s="101"/>
      <c r="O2" s="101"/>
      <c r="P2" s="18"/>
      <c r="Q2" s="112">
        <v>1</v>
      </c>
      <c r="R2" s="101"/>
      <c r="S2" s="101"/>
      <c r="T2" s="101"/>
      <c r="U2" s="101"/>
      <c r="V2" s="101"/>
      <c r="W2" s="101"/>
      <c r="X2" s="101"/>
      <c r="Y2" s="101"/>
      <c r="Z2" s="101"/>
    </row>
    <row r="3" spans="1:92" s="20" customFormat="1" ht="30" customHeight="1" x14ac:dyDescent="0.2">
      <c r="A3" s="7"/>
      <c r="B3" s="19" t="s">
        <v>37</v>
      </c>
      <c r="D3" s="21"/>
      <c r="E3" s="22"/>
    </row>
    <row r="4" spans="1:92" s="20" customFormat="1" ht="30" customHeight="1" x14ac:dyDescent="0.2">
      <c r="A4" s="8"/>
      <c r="B4" s="23" t="s">
        <v>38</v>
      </c>
      <c r="E4" s="24"/>
      <c r="I4" s="108">
        <f>I5</f>
        <v>46286</v>
      </c>
      <c r="J4" s="109"/>
      <c r="K4" s="109"/>
      <c r="L4" s="109"/>
      <c r="M4" s="109"/>
      <c r="N4" s="109"/>
      <c r="O4" s="110"/>
      <c r="P4" s="111">
        <f>P5</f>
        <v>46293</v>
      </c>
      <c r="Q4" s="109"/>
      <c r="R4" s="109"/>
      <c r="S4" s="109"/>
      <c r="T4" s="109"/>
      <c r="U4" s="109"/>
      <c r="V4" s="110"/>
      <c r="W4" s="111">
        <f>W5</f>
        <v>46300</v>
      </c>
      <c r="X4" s="109"/>
      <c r="Y4" s="109"/>
      <c r="Z4" s="109"/>
      <c r="AA4" s="109"/>
      <c r="AB4" s="109"/>
      <c r="AC4" s="110"/>
      <c r="AD4" s="111">
        <f>AD5</f>
        <v>46307</v>
      </c>
      <c r="AE4" s="109"/>
      <c r="AF4" s="109"/>
      <c r="AG4" s="109"/>
      <c r="AH4" s="109"/>
      <c r="AI4" s="109"/>
      <c r="AJ4" s="110"/>
      <c r="AK4" s="108">
        <f>AK5</f>
        <v>46286</v>
      </c>
      <c r="AL4" s="109"/>
      <c r="AM4" s="109"/>
      <c r="AN4" s="109"/>
      <c r="AO4" s="109"/>
      <c r="AP4" s="109"/>
      <c r="AQ4" s="110"/>
      <c r="AR4" s="108">
        <f>AR5</f>
        <v>46293</v>
      </c>
      <c r="AS4" s="109"/>
      <c r="AT4" s="109"/>
      <c r="AU4" s="109"/>
      <c r="AV4" s="109"/>
      <c r="AW4" s="109"/>
      <c r="AX4" s="110"/>
      <c r="AY4" s="108">
        <f>AY5</f>
        <v>46300</v>
      </c>
      <c r="AZ4" s="109"/>
      <c r="BA4" s="109"/>
      <c r="BB4" s="109"/>
      <c r="BC4" s="109"/>
      <c r="BD4" s="109"/>
      <c r="BE4" s="110"/>
      <c r="BF4" s="108">
        <f>BF5</f>
        <v>46307</v>
      </c>
      <c r="BG4" s="109"/>
      <c r="BH4" s="109"/>
      <c r="BI4" s="109"/>
      <c r="BJ4" s="109"/>
      <c r="BK4" s="109"/>
      <c r="BL4" s="110"/>
      <c r="BM4" s="111">
        <f>BM5</f>
        <v>46314</v>
      </c>
      <c r="BN4" s="109"/>
      <c r="BO4" s="109"/>
      <c r="BP4" s="109"/>
      <c r="BQ4" s="109"/>
      <c r="BR4" s="109"/>
      <c r="BS4" s="110"/>
      <c r="BT4" s="111">
        <f>BT5</f>
        <v>46321</v>
      </c>
      <c r="BU4" s="109"/>
      <c r="BV4" s="109"/>
      <c r="BW4" s="109"/>
      <c r="BX4" s="109"/>
      <c r="BY4" s="109"/>
      <c r="BZ4" s="110"/>
      <c r="CA4" s="111">
        <f>CA5</f>
        <v>46328</v>
      </c>
      <c r="CB4" s="109"/>
      <c r="CC4" s="109"/>
      <c r="CD4" s="109"/>
      <c r="CE4" s="109"/>
      <c r="CF4" s="109"/>
      <c r="CG4" s="110"/>
      <c r="CH4" s="111">
        <f>CH5</f>
        <v>46335</v>
      </c>
      <c r="CI4" s="109"/>
      <c r="CJ4" s="109"/>
      <c r="CK4" s="109"/>
      <c r="CL4" s="109"/>
      <c r="CM4" s="109"/>
      <c r="CN4" s="110"/>
    </row>
    <row r="5" spans="1:92" s="20" customFormat="1" ht="15" customHeight="1" x14ac:dyDescent="0.2">
      <c r="A5" s="113"/>
      <c r="B5" s="115" t="s">
        <v>39</v>
      </c>
      <c r="C5" s="117" t="s">
        <v>40</v>
      </c>
      <c r="D5" s="105" t="s">
        <v>41</v>
      </c>
      <c r="E5" s="105" t="s">
        <v>42</v>
      </c>
      <c r="F5" s="105" t="s">
        <v>43</v>
      </c>
      <c r="I5" s="25">
        <f>Project_Start-WEEKDAY(Project_Start,1)+2+7*(Display_Week-1)</f>
        <v>46286</v>
      </c>
      <c r="J5" s="25">
        <f t="shared" ref="J5:AJ5" si="0">I5+1</f>
        <v>46287</v>
      </c>
      <c r="K5" s="25">
        <f t="shared" si="0"/>
        <v>46288</v>
      </c>
      <c r="L5" s="25">
        <f t="shared" si="0"/>
        <v>46289</v>
      </c>
      <c r="M5" s="25">
        <f t="shared" si="0"/>
        <v>46290</v>
      </c>
      <c r="N5" s="25">
        <f t="shared" si="0"/>
        <v>46291</v>
      </c>
      <c r="O5" s="26">
        <f t="shared" si="0"/>
        <v>46292</v>
      </c>
      <c r="P5" s="27">
        <f t="shared" si="0"/>
        <v>46293</v>
      </c>
      <c r="Q5" s="25">
        <f t="shared" si="0"/>
        <v>46294</v>
      </c>
      <c r="R5" s="25">
        <f t="shared" si="0"/>
        <v>46295</v>
      </c>
      <c r="S5" s="25">
        <f t="shared" si="0"/>
        <v>46296</v>
      </c>
      <c r="T5" s="25">
        <f t="shared" si="0"/>
        <v>46297</v>
      </c>
      <c r="U5" s="25">
        <f t="shared" si="0"/>
        <v>46298</v>
      </c>
      <c r="V5" s="26">
        <f t="shared" si="0"/>
        <v>46299</v>
      </c>
      <c r="W5" s="27">
        <f t="shared" si="0"/>
        <v>46300</v>
      </c>
      <c r="X5" s="25">
        <f t="shared" si="0"/>
        <v>46301</v>
      </c>
      <c r="Y5" s="25">
        <f t="shared" si="0"/>
        <v>46302</v>
      </c>
      <c r="Z5" s="25">
        <f t="shared" si="0"/>
        <v>46303</v>
      </c>
      <c r="AA5" s="25">
        <f t="shared" si="0"/>
        <v>46304</v>
      </c>
      <c r="AB5" s="25">
        <f t="shared" si="0"/>
        <v>46305</v>
      </c>
      <c r="AC5" s="26">
        <f t="shared" si="0"/>
        <v>46306</v>
      </c>
      <c r="AD5" s="27">
        <f t="shared" si="0"/>
        <v>46307</v>
      </c>
      <c r="AE5" s="25">
        <f t="shared" si="0"/>
        <v>46308</v>
      </c>
      <c r="AF5" s="25">
        <f t="shared" si="0"/>
        <v>46309</v>
      </c>
      <c r="AG5" s="25">
        <f t="shared" si="0"/>
        <v>46310</v>
      </c>
      <c r="AH5" s="25">
        <f t="shared" si="0"/>
        <v>46311</v>
      </c>
      <c r="AI5" s="25">
        <f t="shared" si="0"/>
        <v>46312</v>
      </c>
      <c r="AJ5" s="26">
        <f t="shared" si="0"/>
        <v>46313</v>
      </c>
      <c r="AK5" s="25">
        <f>Project_Start-WEEKDAY(Project_Start,1)+2+7*(Display_Week-1)</f>
        <v>46286</v>
      </c>
      <c r="AL5" s="25">
        <f t="shared" ref="AL5:BL5" si="1">AK5+1</f>
        <v>46287</v>
      </c>
      <c r="AM5" s="25">
        <f t="shared" si="1"/>
        <v>46288</v>
      </c>
      <c r="AN5" s="25">
        <f t="shared" si="1"/>
        <v>46289</v>
      </c>
      <c r="AO5" s="25">
        <f t="shared" si="1"/>
        <v>46290</v>
      </c>
      <c r="AP5" s="25">
        <f t="shared" si="1"/>
        <v>46291</v>
      </c>
      <c r="AQ5" s="26">
        <f t="shared" si="1"/>
        <v>46292</v>
      </c>
      <c r="AR5" s="27">
        <f t="shared" si="1"/>
        <v>46293</v>
      </c>
      <c r="AS5" s="25">
        <f t="shared" si="1"/>
        <v>46294</v>
      </c>
      <c r="AT5" s="25">
        <f t="shared" si="1"/>
        <v>46295</v>
      </c>
      <c r="AU5" s="25">
        <f t="shared" si="1"/>
        <v>46296</v>
      </c>
      <c r="AV5" s="25">
        <f t="shared" si="1"/>
        <v>46297</v>
      </c>
      <c r="AW5" s="25">
        <f t="shared" si="1"/>
        <v>46298</v>
      </c>
      <c r="AX5" s="26">
        <f t="shared" si="1"/>
        <v>46299</v>
      </c>
      <c r="AY5" s="27">
        <f t="shared" si="1"/>
        <v>46300</v>
      </c>
      <c r="AZ5" s="25">
        <f t="shared" si="1"/>
        <v>46301</v>
      </c>
      <c r="BA5" s="25">
        <f t="shared" si="1"/>
        <v>46302</v>
      </c>
      <c r="BB5" s="25">
        <f t="shared" si="1"/>
        <v>46303</v>
      </c>
      <c r="BC5" s="25">
        <f t="shared" si="1"/>
        <v>46304</v>
      </c>
      <c r="BD5" s="25">
        <f t="shared" si="1"/>
        <v>46305</v>
      </c>
      <c r="BE5" s="26">
        <f t="shared" si="1"/>
        <v>46306</v>
      </c>
      <c r="BF5" s="27">
        <f t="shared" si="1"/>
        <v>46307</v>
      </c>
      <c r="BG5" s="25">
        <f t="shared" si="1"/>
        <v>46308</v>
      </c>
      <c r="BH5" s="25">
        <f t="shared" si="1"/>
        <v>46309</v>
      </c>
      <c r="BI5" s="25">
        <f t="shared" si="1"/>
        <v>46310</v>
      </c>
      <c r="BJ5" s="25">
        <f t="shared" si="1"/>
        <v>46311</v>
      </c>
      <c r="BK5" s="25">
        <f t="shared" si="1"/>
        <v>46312</v>
      </c>
      <c r="BL5" s="26">
        <f t="shared" si="1"/>
        <v>46313</v>
      </c>
      <c r="BM5" s="27">
        <f>AJ5+1</f>
        <v>46314</v>
      </c>
      <c r="BN5" s="25">
        <f t="shared" ref="BN5:CN5" si="2">BM5+1</f>
        <v>46315</v>
      </c>
      <c r="BO5" s="25">
        <f t="shared" si="2"/>
        <v>46316</v>
      </c>
      <c r="BP5" s="25">
        <f t="shared" si="2"/>
        <v>46317</v>
      </c>
      <c r="BQ5" s="25">
        <f t="shared" si="2"/>
        <v>46318</v>
      </c>
      <c r="BR5" s="25">
        <f t="shared" si="2"/>
        <v>46319</v>
      </c>
      <c r="BS5" s="26">
        <f t="shared" si="2"/>
        <v>46320</v>
      </c>
      <c r="BT5" s="27">
        <f t="shared" si="2"/>
        <v>46321</v>
      </c>
      <c r="BU5" s="25">
        <f t="shared" si="2"/>
        <v>46322</v>
      </c>
      <c r="BV5" s="25">
        <f t="shared" si="2"/>
        <v>46323</v>
      </c>
      <c r="BW5" s="25">
        <f t="shared" si="2"/>
        <v>46324</v>
      </c>
      <c r="BX5" s="25">
        <f t="shared" si="2"/>
        <v>46325</v>
      </c>
      <c r="BY5" s="25">
        <f t="shared" si="2"/>
        <v>46326</v>
      </c>
      <c r="BZ5" s="26">
        <f t="shared" si="2"/>
        <v>46327</v>
      </c>
      <c r="CA5" s="27">
        <f t="shared" si="2"/>
        <v>46328</v>
      </c>
      <c r="CB5" s="25">
        <f t="shared" si="2"/>
        <v>46329</v>
      </c>
      <c r="CC5" s="25">
        <f t="shared" si="2"/>
        <v>46330</v>
      </c>
      <c r="CD5" s="25">
        <f t="shared" si="2"/>
        <v>46331</v>
      </c>
      <c r="CE5" s="25">
        <f t="shared" si="2"/>
        <v>46332</v>
      </c>
      <c r="CF5" s="25">
        <f t="shared" si="2"/>
        <v>46333</v>
      </c>
      <c r="CG5" s="26">
        <f t="shared" si="2"/>
        <v>46334</v>
      </c>
      <c r="CH5" s="27">
        <f t="shared" si="2"/>
        <v>46335</v>
      </c>
      <c r="CI5" s="25">
        <f t="shared" si="2"/>
        <v>46336</v>
      </c>
      <c r="CJ5" s="25">
        <f t="shared" si="2"/>
        <v>46337</v>
      </c>
      <c r="CK5" s="25">
        <f t="shared" si="2"/>
        <v>46338</v>
      </c>
      <c r="CL5" s="25">
        <f t="shared" si="2"/>
        <v>46339</v>
      </c>
      <c r="CM5" s="25">
        <f t="shared" si="2"/>
        <v>46340</v>
      </c>
      <c r="CN5" s="25">
        <f t="shared" si="2"/>
        <v>46341</v>
      </c>
    </row>
    <row r="6" spans="1:92" s="20" customFormat="1" ht="15" x14ac:dyDescent="0.2">
      <c r="A6" s="114"/>
      <c r="B6" s="106"/>
      <c r="C6" s="106"/>
      <c r="D6" s="106"/>
      <c r="E6" s="106"/>
      <c r="F6" s="106"/>
      <c r="I6" s="28" t="str">
        <f t="shared" ref="I6:AN6" si="3">LEFT(TEXT(I5,"ddd"),1)</f>
        <v>M</v>
      </c>
      <c r="J6" s="29" t="str">
        <f t="shared" si="3"/>
        <v>T</v>
      </c>
      <c r="K6" s="29" t="str">
        <f t="shared" si="3"/>
        <v>W</v>
      </c>
      <c r="L6" s="29" t="str">
        <f t="shared" si="3"/>
        <v>T</v>
      </c>
      <c r="M6" s="29" t="str">
        <f t="shared" si="3"/>
        <v>F</v>
      </c>
      <c r="N6" s="29" t="str">
        <f t="shared" si="3"/>
        <v>S</v>
      </c>
      <c r="O6" s="29" t="str">
        <f t="shared" si="3"/>
        <v>S</v>
      </c>
      <c r="P6" s="29" t="str">
        <f t="shared" si="3"/>
        <v>M</v>
      </c>
      <c r="Q6" s="29" t="str">
        <f t="shared" si="3"/>
        <v>T</v>
      </c>
      <c r="R6" s="29" t="str">
        <f t="shared" si="3"/>
        <v>W</v>
      </c>
      <c r="S6" s="29" t="str">
        <f t="shared" si="3"/>
        <v>T</v>
      </c>
      <c r="T6" s="29" t="str">
        <f t="shared" si="3"/>
        <v>F</v>
      </c>
      <c r="U6" s="29" t="str">
        <f t="shared" si="3"/>
        <v>S</v>
      </c>
      <c r="V6" s="29" t="str">
        <f t="shared" si="3"/>
        <v>S</v>
      </c>
      <c r="W6" s="29" t="str">
        <f t="shared" si="3"/>
        <v>M</v>
      </c>
      <c r="X6" s="29" t="str">
        <f t="shared" si="3"/>
        <v>T</v>
      </c>
      <c r="Y6" s="29" t="str">
        <f t="shared" si="3"/>
        <v>W</v>
      </c>
      <c r="Z6" s="29" t="str">
        <f t="shared" si="3"/>
        <v>T</v>
      </c>
      <c r="AA6" s="29" t="str">
        <f t="shared" si="3"/>
        <v>F</v>
      </c>
      <c r="AB6" s="29" t="str">
        <f t="shared" si="3"/>
        <v>S</v>
      </c>
      <c r="AC6" s="29" t="str">
        <f t="shared" si="3"/>
        <v>S</v>
      </c>
      <c r="AD6" s="29" t="str">
        <f t="shared" si="3"/>
        <v>M</v>
      </c>
      <c r="AE6" s="29" t="str">
        <f t="shared" si="3"/>
        <v>T</v>
      </c>
      <c r="AF6" s="29" t="str">
        <f t="shared" si="3"/>
        <v>W</v>
      </c>
      <c r="AG6" s="29" t="str">
        <f t="shared" si="3"/>
        <v>T</v>
      </c>
      <c r="AH6" s="29" t="str">
        <f t="shared" si="3"/>
        <v>F</v>
      </c>
      <c r="AI6" s="29" t="str">
        <f t="shared" si="3"/>
        <v>S</v>
      </c>
      <c r="AJ6" s="29" t="str">
        <f t="shared" si="3"/>
        <v>S</v>
      </c>
      <c r="AK6" s="28" t="str">
        <f t="shared" si="3"/>
        <v>M</v>
      </c>
      <c r="AL6" s="29" t="str">
        <f t="shared" si="3"/>
        <v>T</v>
      </c>
      <c r="AM6" s="29" t="str">
        <f t="shared" si="3"/>
        <v>W</v>
      </c>
      <c r="AN6" s="29" t="str">
        <f t="shared" si="3"/>
        <v>T</v>
      </c>
      <c r="AO6" s="29" t="str">
        <f t="shared" ref="AO6:BT6" si="4">LEFT(TEXT(AO5,"ddd"),1)</f>
        <v>F</v>
      </c>
      <c r="AP6" s="29" t="str">
        <f t="shared" si="4"/>
        <v>S</v>
      </c>
      <c r="AQ6" s="29" t="str">
        <f t="shared" si="4"/>
        <v>S</v>
      </c>
      <c r="AR6" s="29" t="str">
        <f t="shared" si="4"/>
        <v>M</v>
      </c>
      <c r="AS6" s="29" t="str">
        <f t="shared" si="4"/>
        <v>T</v>
      </c>
      <c r="AT6" s="29" t="str">
        <f t="shared" si="4"/>
        <v>W</v>
      </c>
      <c r="AU6" s="29" t="str">
        <f t="shared" si="4"/>
        <v>T</v>
      </c>
      <c r="AV6" s="29" t="str">
        <f t="shared" si="4"/>
        <v>F</v>
      </c>
      <c r="AW6" s="29" t="str">
        <f t="shared" si="4"/>
        <v>S</v>
      </c>
      <c r="AX6" s="29" t="str">
        <f t="shared" si="4"/>
        <v>S</v>
      </c>
      <c r="AY6" s="29" t="str">
        <f t="shared" si="4"/>
        <v>M</v>
      </c>
      <c r="AZ6" s="29" t="str">
        <f t="shared" si="4"/>
        <v>T</v>
      </c>
      <c r="BA6" s="29" t="str">
        <f t="shared" si="4"/>
        <v>W</v>
      </c>
      <c r="BB6" s="29" t="str">
        <f t="shared" si="4"/>
        <v>T</v>
      </c>
      <c r="BC6" s="29" t="str">
        <f t="shared" si="4"/>
        <v>F</v>
      </c>
      <c r="BD6" s="29" t="str">
        <f t="shared" si="4"/>
        <v>S</v>
      </c>
      <c r="BE6" s="29" t="str">
        <f t="shared" si="4"/>
        <v>S</v>
      </c>
      <c r="BF6" s="29" t="str">
        <f t="shared" si="4"/>
        <v>M</v>
      </c>
      <c r="BG6" s="29" t="str">
        <f t="shared" si="4"/>
        <v>T</v>
      </c>
      <c r="BH6" s="29" t="str">
        <f t="shared" si="4"/>
        <v>W</v>
      </c>
      <c r="BI6" s="29" t="str">
        <f t="shared" si="4"/>
        <v>T</v>
      </c>
      <c r="BJ6" s="29" t="str">
        <f t="shared" si="4"/>
        <v>F</v>
      </c>
      <c r="BK6" s="29" t="str">
        <f t="shared" si="4"/>
        <v>S</v>
      </c>
      <c r="BL6" s="29" t="str">
        <f t="shared" si="4"/>
        <v>S</v>
      </c>
      <c r="BM6" s="29" t="str">
        <f t="shared" si="4"/>
        <v>M</v>
      </c>
      <c r="BN6" s="29" t="str">
        <f t="shared" si="4"/>
        <v>T</v>
      </c>
      <c r="BO6" s="29" t="str">
        <f t="shared" si="4"/>
        <v>W</v>
      </c>
      <c r="BP6" s="29" t="str">
        <f t="shared" si="4"/>
        <v>T</v>
      </c>
      <c r="BQ6" s="29" t="str">
        <f t="shared" si="4"/>
        <v>F</v>
      </c>
      <c r="BR6" s="29" t="str">
        <f t="shared" si="4"/>
        <v>S</v>
      </c>
      <c r="BS6" s="29" t="str">
        <f t="shared" si="4"/>
        <v>S</v>
      </c>
      <c r="BT6" s="29" t="str">
        <f t="shared" si="4"/>
        <v>M</v>
      </c>
      <c r="BU6" s="29" t="str">
        <f t="shared" ref="BU6:CZ6" si="5">LEFT(TEXT(BU5,"ddd"),1)</f>
        <v>T</v>
      </c>
      <c r="BV6" s="29" t="str">
        <f t="shared" si="5"/>
        <v>W</v>
      </c>
      <c r="BW6" s="29" t="str">
        <f t="shared" si="5"/>
        <v>T</v>
      </c>
      <c r="BX6" s="29" t="str">
        <f t="shared" si="5"/>
        <v>F</v>
      </c>
      <c r="BY6" s="29" t="str">
        <f t="shared" si="5"/>
        <v>S</v>
      </c>
      <c r="BZ6" s="29" t="str">
        <f t="shared" si="5"/>
        <v>S</v>
      </c>
      <c r="CA6" s="29" t="str">
        <f t="shared" si="5"/>
        <v>M</v>
      </c>
      <c r="CB6" s="29" t="str">
        <f t="shared" si="5"/>
        <v>T</v>
      </c>
      <c r="CC6" s="29" t="str">
        <f t="shared" si="5"/>
        <v>W</v>
      </c>
      <c r="CD6" s="29" t="str">
        <f t="shared" si="5"/>
        <v>T</v>
      </c>
      <c r="CE6" s="29" t="str">
        <f t="shared" si="5"/>
        <v>F</v>
      </c>
      <c r="CF6" s="29" t="str">
        <f t="shared" si="5"/>
        <v>S</v>
      </c>
      <c r="CG6" s="29" t="str">
        <f t="shared" si="5"/>
        <v>S</v>
      </c>
      <c r="CH6" s="29" t="str">
        <f t="shared" si="5"/>
        <v>M</v>
      </c>
      <c r="CI6" s="29" t="str">
        <f t="shared" si="5"/>
        <v>T</v>
      </c>
      <c r="CJ6" s="29" t="str">
        <f t="shared" si="5"/>
        <v>W</v>
      </c>
      <c r="CK6" s="29" t="str">
        <f t="shared" si="5"/>
        <v>T</v>
      </c>
      <c r="CL6" s="29" t="str">
        <f t="shared" si="5"/>
        <v>F</v>
      </c>
      <c r="CM6" s="29" t="str">
        <f t="shared" si="5"/>
        <v>S</v>
      </c>
      <c r="CN6" s="30" t="str">
        <f t="shared" si="5"/>
        <v>S</v>
      </c>
    </row>
    <row r="7" spans="1:92" s="20" customFormat="1" ht="16" thickBot="1" x14ac:dyDescent="0.25">
      <c r="A7" s="7" t="s">
        <v>44</v>
      </c>
      <c r="B7" s="31"/>
      <c r="C7" s="32"/>
      <c r="D7" s="31"/>
      <c r="E7" s="31"/>
      <c r="F7" s="31"/>
      <c r="H7" s="20" t="str">
        <f t="shared" ref="H7:H33" si="6">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row>
    <row r="8" spans="1:92" s="40" customFormat="1" ht="17" thickBot="1" x14ac:dyDescent="0.25">
      <c r="A8" s="8"/>
      <c r="B8" s="34" t="s">
        <v>45</v>
      </c>
      <c r="C8" s="35"/>
      <c r="D8" s="36"/>
      <c r="E8" s="37"/>
      <c r="F8" s="38"/>
      <c r="G8" s="11"/>
      <c r="H8" s="5" t="str">
        <f t="shared" si="6"/>
        <v/>
      </c>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c r="CK8" s="39"/>
      <c r="CL8" s="39"/>
      <c r="CM8" s="39"/>
      <c r="CN8" s="39"/>
    </row>
    <row r="9" spans="1:92" s="40" customFormat="1" ht="16" thickBot="1" x14ac:dyDescent="0.25">
      <c r="A9" s="8"/>
      <c r="B9" s="41" t="s">
        <v>46</v>
      </c>
      <c r="C9" s="42" t="s">
        <v>47</v>
      </c>
      <c r="D9" s="43">
        <v>0.5</v>
      </c>
      <c r="E9" s="44">
        <f>Project_Start</f>
        <v>46286</v>
      </c>
      <c r="F9" s="44">
        <f>E9+3</f>
        <v>46289</v>
      </c>
      <c r="G9" s="11"/>
      <c r="H9" s="5">
        <f t="shared" si="6"/>
        <v>4</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row>
    <row r="10" spans="1:92" s="40" customFormat="1" ht="16" thickBot="1" x14ac:dyDescent="0.25">
      <c r="A10" s="8"/>
      <c r="B10" s="46" t="s">
        <v>48</v>
      </c>
      <c r="C10" s="47" t="s">
        <v>49</v>
      </c>
      <c r="D10" s="48">
        <v>0.6</v>
      </c>
      <c r="E10" s="49">
        <f>F9</f>
        <v>46289</v>
      </c>
      <c r="F10" s="49">
        <f>E10+2</f>
        <v>46291</v>
      </c>
      <c r="G10" s="11"/>
      <c r="H10" s="5">
        <f t="shared" si="6"/>
        <v>3</v>
      </c>
      <c r="I10" s="45"/>
      <c r="J10" s="45"/>
      <c r="K10" s="45"/>
      <c r="L10" s="45"/>
      <c r="M10" s="45"/>
      <c r="N10" s="45"/>
      <c r="O10" s="45"/>
      <c r="P10" s="45"/>
      <c r="Q10" s="45"/>
      <c r="R10" s="45"/>
      <c r="S10" s="45"/>
      <c r="T10" s="45"/>
      <c r="U10" s="50"/>
      <c r="V10" s="50"/>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row>
    <row r="11" spans="1:92" s="40" customFormat="1" ht="16" thickBot="1" x14ac:dyDescent="0.25">
      <c r="A11" s="7"/>
      <c r="B11" s="46" t="s">
        <v>50</v>
      </c>
      <c r="C11" s="47" t="s">
        <v>51</v>
      </c>
      <c r="D11" s="48">
        <v>0.5</v>
      </c>
      <c r="E11" s="49">
        <f>F10</f>
        <v>46291</v>
      </c>
      <c r="F11" s="49">
        <f>E11+4</f>
        <v>46295</v>
      </c>
      <c r="G11" s="11"/>
      <c r="H11" s="5">
        <f t="shared" si="6"/>
        <v>5</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row>
    <row r="12" spans="1:92" s="40" customFormat="1" ht="30" customHeight="1" thickBot="1" x14ac:dyDescent="0.25">
      <c r="A12" s="7"/>
      <c r="B12" s="46" t="s">
        <v>52</v>
      </c>
      <c r="C12" s="47" t="s">
        <v>53</v>
      </c>
      <c r="D12" s="48">
        <v>0.25</v>
      </c>
      <c r="E12" s="49">
        <f>F11</f>
        <v>46295</v>
      </c>
      <c r="F12" s="49">
        <f>E12+5</f>
        <v>46300</v>
      </c>
      <c r="G12" s="11"/>
      <c r="H12" s="5">
        <f t="shared" si="6"/>
        <v>6</v>
      </c>
      <c r="I12" s="45"/>
      <c r="J12" s="45"/>
      <c r="K12" s="45"/>
      <c r="L12" s="45"/>
      <c r="M12" s="45"/>
      <c r="N12" s="45"/>
      <c r="O12" s="45"/>
      <c r="P12" s="45"/>
      <c r="Q12" s="45"/>
      <c r="R12" s="45"/>
      <c r="S12" s="45"/>
      <c r="T12" s="45"/>
      <c r="U12" s="45"/>
      <c r="V12" s="45"/>
      <c r="W12" s="45"/>
      <c r="X12" s="45"/>
      <c r="Y12" s="50"/>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row>
    <row r="13" spans="1:92" s="40" customFormat="1" ht="30" customHeight="1" thickBot="1" x14ac:dyDescent="0.25">
      <c r="A13" s="7"/>
      <c r="B13" s="46" t="s">
        <v>54</v>
      </c>
      <c r="C13" s="47" t="s">
        <v>55</v>
      </c>
      <c r="D13" s="48"/>
      <c r="E13" s="49">
        <f>E10+1</f>
        <v>46290</v>
      </c>
      <c r="F13" s="49">
        <f>E13+2</f>
        <v>46292</v>
      </c>
      <c r="G13" s="11"/>
      <c r="H13" s="5">
        <f t="shared" si="6"/>
        <v>3</v>
      </c>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row>
    <row r="14" spans="1:92" s="40" customFormat="1" ht="30" customHeight="1" thickBot="1" x14ac:dyDescent="0.25">
      <c r="A14" s="8"/>
      <c r="B14" s="51" t="s">
        <v>56</v>
      </c>
      <c r="C14" s="52"/>
      <c r="D14" s="53"/>
      <c r="E14" s="54"/>
      <c r="F14" s="55"/>
      <c r="G14" s="11"/>
      <c r="H14" s="5" t="str">
        <f t="shared" si="6"/>
        <v/>
      </c>
    </row>
    <row r="15" spans="1:92" s="40" customFormat="1" ht="30" customHeight="1" thickBot="1" x14ac:dyDescent="0.25">
      <c r="A15" s="8"/>
      <c r="B15" s="56" t="s">
        <v>57</v>
      </c>
      <c r="C15" s="57" t="s">
        <v>47</v>
      </c>
      <c r="D15" s="58">
        <v>0.5</v>
      </c>
      <c r="E15" s="59">
        <f>E13+1</f>
        <v>46291</v>
      </c>
      <c r="F15" s="59">
        <f>E15+4</f>
        <v>46295</v>
      </c>
      <c r="G15" s="11"/>
      <c r="H15" s="5">
        <f t="shared" si="6"/>
        <v>5</v>
      </c>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row>
    <row r="16" spans="1:92" s="40" customFormat="1" ht="30" customHeight="1" thickBot="1" x14ac:dyDescent="0.25">
      <c r="A16" s="7"/>
      <c r="B16" s="56" t="s">
        <v>58</v>
      </c>
      <c r="C16" s="57" t="s">
        <v>49</v>
      </c>
      <c r="D16" s="58">
        <v>0.5</v>
      </c>
      <c r="E16" s="59">
        <f>E15+2</f>
        <v>46293</v>
      </c>
      <c r="F16" s="59">
        <f>E16+5</f>
        <v>46298</v>
      </c>
      <c r="G16" s="11"/>
      <c r="H16" s="5">
        <f t="shared" si="6"/>
        <v>6</v>
      </c>
      <c r="I16" s="45"/>
      <c r="J16" s="45"/>
      <c r="K16" s="45"/>
      <c r="L16" s="45"/>
      <c r="M16" s="45"/>
      <c r="N16" s="45"/>
      <c r="O16" s="45"/>
      <c r="P16" s="45"/>
      <c r="Q16" s="45"/>
      <c r="R16" s="45"/>
      <c r="S16" s="45"/>
      <c r="T16" s="45"/>
      <c r="U16" s="50"/>
      <c r="V16" s="50"/>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row>
    <row r="17" spans="1:92" s="40" customFormat="1" ht="30" customHeight="1" thickBot="1" x14ac:dyDescent="0.25">
      <c r="A17" s="7"/>
      <c r="B17" s="56" t="s">
        <v>59</v>
      </c>
      <c r="C17" s="57" t="s">
        <v>51</v>
      </c>
      <c r="D17" s="58"/>
      <c r="E17" s="59">
        <f>F16</f>
        <v>46298</v>
      </c>
      <c r="F17" s="59">
        <f>E17+3</f>
        <v>46301</v>
      </c>
      <c r="G17" s="11"/>
      <c r="H17" s="5">
        <f t="shared" si="6"/>
        <v>4</v>
      </c>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row>
    <row r="18" spans="1:92" s="40" customFormat="1" ht="30" customHeight="1" thickBot="1" x14ac:dyDescent="0.25">
      <c r="A18" s="7"/>
      <c r="B18" s="56" t="s">
        <v>60</v>
      </c>
      <c r="C18" s="57" t="s">
        <v>53</v>
      </c>
      <c r="D18" s="58"/>
      <c r="E18" s="59">
        <f>E17</f>
        <v>46298</v>
      </c>
      <c r="F18" s="59">
        <f>E18+2</f>
        <v>46300</v>
      </c>
      <c r="G18" s="11"/>
      <c r="H18" s="5">
        <f t="shared" si="6"/>
        <v>3</v>
      </c>
      <c r="I18" s="45"/>
      <c r="J18" s="45"/>
      <c r="K18" s="45"/>
      <c r="L18" s="45"/>
      <c r="M18" s="45"/>
      <c r="N18" s="45"/>
      <c r="O18" s="45"/>
      <c r="P18" s="45"/>
      <c r="Q18" s="45"/>
      <c r="R18" s="45"/>
      <c r="S18" s="45"/>
      <c r="T18" s="45"/>
      <c r="U18" s="45"/>
      <c r="V18" s="45"/>
      <c r="W18" s="45"/>
      <c r="X18" s="45"/>
      <c r="Y18" s="50"/>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row>
    <row r="19" spans="1:92" s="40" customFormat="1" ht="30" customHeight="1" thickBot="1" x14ac:dyDescent="0.25">
      <c r="A19" s="7"/>
      <c r="B19" s="56" t="s">
        <v>61</v>
      </c>
      <c r="C19" s="57" t="s">
        <v>55</v>
      </c>
      <c r="D19" s="58"/>
      <c r="E19" s="59">
        <f>E18</f>
        <v>46298</v>
      </c>
      <c r="F19" s="59">
        <f>E19+3</f>
        <v>46301</v>
      </c>
      <c r="G19" s="11"/>
      <c r="H19" s="5">
        <f t="shared" si="6"/>
        <v>4</v>
      </c>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row>
    <row r="20" spans="1:92" s="40" customFormat="1" ht="30" customHeight="1" thickBot="1" x14ac:dyDescent="0.25">
      <c r="A20" s="7"/>
      <c r="B20" s="60" t="s">
        <v>31</v>
      </c>
      <c r="C20" s="61"/>
      <c r="D20" s="62"/>
      <c r="E20" s="63"/>
      <c r="F20" s="64"/>
      <c r="G20" s="11"/>
      <c r="H20" s="5" t="str">
        <f t="shared" si="6"/>
        <v/>
      </c>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row>
    <row r="21" spans="1:92" s="40" customFormat="1" ht="30" customHeight="1" thickBot="1" x14ac:dyDescent="0.25">
      <c r="A21" s="7"/>
      <c r="B21" s="66" t="s">
        <v>62</v>
      </c>
      <c r="C21" s="67" t="s">
        <v>47</v>
      </c>
      <c r="D21" s="68">
        <v>0.5</v>
      </c>
      <c r="E21" s="69">
        <f>E9+15</f>
        <v>46301</v>
      </c>
      <c r="F21" s="69">
        <f>E21+5</f>
        <v>46306</v>
      </c>
      <c r="G21" s="11"/>
      <c r="H21" s="5">
        <f t="shared" si="6"/>
        <v>6</v>
      </c>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row>
    <row r="22" spans="1:92" s="40" customFormat="1" ht="30" customHeight="1" thickBot="1" x14ac:dyDescent="0.25">
      <c r="A22" s="7"/>
      <c r="B22" s="66" t="s">
        <v>63</v>
      </c>
      <c r="C22" s="67" t="s">
        <v>49</v>
      </c>
      <c r="D22" s="68">
        <v>0.6</v>
      </c>
      <c r="E22" s="69">
        <f>F21+1</f>
        <v>46307</v>
      </c>
      <c r="F22" s="69">
        <f>E22+4</f>
        <v>46311</v>
      </c>
      <c r="G22" s="11"/>
      <c r="H22" s="5">
        <f t="shared" si="6"/>
        <v>5</v>
      </c>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row>
    <row r="23" spans="1:92" s="40" customFormat="1" ht="30" customHeight="1" thickBot="1" x14ac:dyDescent="0.25">
      <c r="A23" s="7"/>
      <c r="B23" s="66" t="s">
        <v>64</v>
      </c>
      <c r="C23" s="67" t="s">
        <v>51</v>
      </c>
      <c r="D23" s="68">
        <v>0.5</v>
      </c>
      <c r="E23" s="69">
        <f>E22+5</f>
        <v>46312</v>
      </c>
      <c r="F23" s="69">
        <f>E23+5</f>
        <v>46317</v>
      </c>
      <c r="G23" s="11"/>
      <c r="H23" s="5">
        <f t="shared" si="6"/>
        <v>6</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row>
    <row r="24" spans="1:92" s="40" customFormat="1" ht="30" customHeight="1" thickBot="1" x14ac:dyDescent="0.25">
      <c r="A24" s="7"/>
      <c r="B24" s="66" t="s">
        <v>65</v>
      </c>
      <c r="C24" s="67" t="s">
        <v>53</v>
      </c>
      <c r="D24" s="68">
        <v>0.25</v>
      </c>
      <c r="E24" s="69">
        <f>F23+1</f>
        <v>46318</v>
      </c>
      <c r="F24" s="69">
        <f>E24+4</f>
        <v>46322</v>
      </c>
      <c r="G24" s="11"/>
      <c r="H24" s="5">
        <f t="shared" si="6"/>
        <v>5</v>
      </c>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row>
    <row r="25" spans="1:92" s="40" customFormat="1" ht="30" customHeight="1" thickBot="1" x14ac:dyDescent="0.25">
      <c r="A25" s="7"/>
      <c r="B25" s="66" t="s">
        <v>66</v>
      </c>
      <c r="C25" s="67" t="s">
        <v>55</v>
      </c>
      <c r="D25" s="68">
        <v>0.25</v>
      </c>
      <c r="E25" s="69">
        <f>E23</f>
        <v>46312</v>
      </c>
      <c r="F25" s="69">
        <f>E25+4</f>
        <v>46316</v>
      </c>
      <c r="G25" s="11"/>
      <c r="H25" s="5">
        <f t="shared" si="6"/>
        <v>5</v>
      </c>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row>
    <row r="26" spans="1:92" s="40" customFormat="1" ht="30" customHeight="1" thickBot="1" x14ac:dyDescent="0.25">
      <c r="A26" s="7"/>
      <c r="B26" s="70" t="s">
        <v>67</v>
      </c>
      <c r="C26" s="71"/>
      <c r="D26" s="72"/>
      <c r="E26" s="73"/>
      <c r="F26" s="74"/>
      <c r="G26" s="11"/>
      <c r="H26" s="5" t="str">
        <f t="shared" si="6"/>
        <v/>
      </c>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row>
    <row r="27" spans="1:92" s="40" customFormat="1" ht="30" customHeight="1" thickBot="1" x14ac:dyDescent="0.25">
      <c r="A27" s="7"/>
      <c r="B27" s="76" t="s">
        <v>63</v>
      </c>
      <c r="C27" s="77" t="s">
        <v>47</v>
      </c>
      <c r="D27" s="78">
        <v>0.25</v>
      </c>
      <c r="E27" s="79">
        <f>E21+2</f>
        <v>46303</v>
      </c>
      <c r="F27" s="79">
        <f>E27+3</f>
        <v>46306</v>
      </c>
      <c r="G27" s="11"/>
      <c r="H27" s="5">
        <f t="shared" si="6"/>
        <v>4</v>
      </c>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M27" s="45"/>
      <c r="CN27" s="45"/>
    </row>
    <row r="28" spans="1:92" s="40" customFormat="1" ht="30" customHeight="1" thickBot="1" x14ac:dyDescent="0.25">
      <c r="A28" s="7"/>
      <c r="B28" s="76" t="s">
        <v>68</v>
      </c>
      <c r="C28" s="77" t="s">
        <v>49</v>
      </c>
      <c r="D28" s="78">
        <v>0.25</v>
      </c>
      <c r="E28" s="79">
        <f>F27</f>
        <v>46306</v>
      </c>
      <c r="F28" s="79">
        <f>E28+4</f>
        <v>46310</v>
      </c>
      <c r="G28" s="11"/>
      <c r="H28" s="5">
        <f t="shared" si="6"/>
        <v>5</v>
      </c>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M28" s="45"/>
      <c r="CN28" s="45"/>
    </row>
    <row r="29" spans="1:92" s="40" customFormat="1" ht="30" customHeight="1" thickBot="1" x14ac:dyDescent="0.25">
      <c r="A29" s="7"/>
      <c r="B29" s="76" t="s">
        <v>69</v>
      </c>
      <c r="C29" s="77" t="s">
        <v>51</v>
      </c>
      <c r="D29" s="78">
        <v>0.5</v>
      </c>
      <c r="E29" s="79">
        <f>F28+1</f>
        <v>46311</v>
      </c>
      <c r="F29" s="79">
        <f>E29+3</f>
        <v>46314</v>
      </c>
      <c r="G29" s="11"/>
      <c r="H29" s="5">
        <f t="shared" si="6"/>
        <v>4</v>
      </c>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c r="CK29" s="45"/>
      <c r="CL29" s="45"/>
      <c r="CM29" s="45"/>
      <c r="CN29" s="45"/>
    </row>
    <row r="30" spans="1:92" s="40" customFormat="1" ht="30" customHeight="1" thickBot="1" x14ac:dyDescent="0.25">
      <c r="A30" s="7"/>
      <c r="B30" s="76" t="s">
        <v>70</v>
      </c>
      <c r="C30" s="77" t="s">
        <v>53</v>
      </c>
      <c r="D30" s="78">
        <v>0.6</v>
      </c>
      <c r="E30" s="79">
        <f>E27+5</f>
        <v>46308</v>
      </c>
      <c r="F30" s="79">
        <f>E30+3</f>
        <v>46311</v>
      </c>
      <c r="G30" s="11"/>
      <c r="H30" s="5">
        <f t="shared" si="6"/>
        <v>4</v>
      </c>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M30" s="45"/>
      <c r="CN30" s="45"/>
    </row>
    <row r="31" spans="1:92" s="40" customFormat="1" ht="30" customHeight="1" thickBot="1" x14ac:dyDescent="0.25">
      <c r="A31" s="7"/>
      <c r="B31" s="76" t="s">
        <v>71</v>
      </c>
      <c r="C31" s="77" t="s">
        <v>55</v>
      </c>
      <c r="D31" s="78">
        <v>0.5</v>
      </c>
      <c r="E31" s="79">
        <f>E27+7</f>
        <v>46310</v>
      </c>
      <c r="F31" s="79">
        <f>E31+5</f>
        <v>46315</v>
      </c>
      <c r="G31" s="11"/>
      <c r="H31" s="5">
        <f t="shared" si="6"/>
        <v>6</v>
      </c>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M31" s="45"/>
      <c r="CN31" s="45"/>
    </row>
    <row r="32" spans="1:92" s="40" customFormat="1" ht="30" customHeight="1" thickBot="1" x14ac:dyDescent="0.25">
      <c r="A32" s="7"/>
      <c r="B32" s="80"/>
      <c r="C32" s="81"/>
      <c r="D32" s="82"/>
      <c r="E32" s="83"/>
      <c r="F32" s="83"/>
      <c r="G32" s="11"/>
      <c r="H32" s="5" t="str">
        <f t="shared" si="6"/>
        <v/>
      </c>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c r="CG32" s="39"/>
      <c r="CH32" s="39"/>
      <c r="CI32" s="39"/>
      <c r="CJ32" s="39"/>
      <c r="CK32" s="39"/>
      <c r="CL32" s="39"/>
      <c r="CM32" s="39"/>
      <c r="CN32" s="39"/>
    </row>
    <row r="33" spans="1:92" s="40" customFormat="1" ht="30" customHeight="1" thickBot="1" x14ac:dyDescent="0.25">
      <c r="A33" s="8"/>
      <c r="B33" s="84" t="s">
        <v>72</v>
      </c>
      <c r="C33" s="85"/>
      <c r="D33" s="86"/>
      <c r="E33" s="87"/>
      <c r="F33" s="88"/>
      <c r="G33" s="11"/>
      <c r="H33" s="6" t="str">
        <f t="shared" si="6"/>
        <v/>
      </c>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89"/>
      <c r="BY33" s="89"/>
      <c r="BZ33" s="89"/>
      <c r="CA33" s="89"/>
      <c r="CB33" s="89"/>
      <c r="CC33" s="89"/>
      <c r="CD33" s="89"/>
      <c r="CE33" s="89"/>
      <c r="CF33" s="89"/>
      <c r="CG33" s="89"/>
      <c r="CH33" s="89"/>
      <c r="CI33" s="89"/>
      <c r="CJ33" s="89"/>
      <c r="CK33" s="89"/>
      <c r="CL33" s="89"/>
      <c r="CM33" s="89"/>
      <c r="CN33" s="89"/>
    </row>
    <row r="34" spans="1:92" ht="30" customHeight="1" x14ac:dyDescent="0.2">
      <c r="G34" s="3"/>
    </row>
    <row r="35" spans="1:92" ht="30" customHeight="1" x14ac:dyDescent="0.2">
      <c r="C35" s="10"/>
      <c r="F35" s="9"/>
    </row>
    <row r="36" spans="1:92" ht="30" customHeight="1" x14ac:dyDescent="0.2">
      <c r="C36" s="4"/>
    </row>
  </sheetData>
  <mergeCells count="22">
    <mergeCell ref="CH4:CN4"/>
    <mergeCell ref="B5:B6"/>
    <mergeCell ref="D5:D6"/>
    <mergeCell ref="AR4:AX4"/>
    <mergeCell ref="Q1:Z1"/>
    <mergeCell ref="BF4:BL4"/>
    <mergeCell ref="C5:C6"/>
    <mergeCell ref="CA4:CG4"/>
    <mergeCell ref="I2:O2"/>
    <mergeCell ref="A5:A6"/>
    <mergeCell ref="AK4:AQ4"/>
    <mergeCell ref="AY4:BE4"/>
    <mergeCell ref="E5:E6"/>
    <mergeCell ref="I1:O1"/>
    <mergeCell ref="I4:O4"/>
    <mergeCell ref="BT4:BZ4"/>
    <mergeCell ref="F5:F6"/>
    <mergeCell ref="Q2:Z2"/>
    <mergeCell ref="BM4:BS4"/>
    <mergeCell ref="W4:AC4"/>
    <mergeCell ref="AD4:AJ4"/>
    <mergeCell ref="P4:V4"/>
  </mergeCells>
  <conditionalFormatting sqref="D7:D33">
    <cfRule type="dataBar" priority="25">
      <dataBar>
        <cfvo type="num" val="0"/>
        <cfvo type="num" val="1"/>
        <color theme="0"/>
      </dataBar>
    </cfRule>
  </conditionalFormatting>
  <conditionalFormatting sqref="I4:AI31 BM4:CN31">
    <cfRule type="expression" dxfId="16" priority="3">
      <formula>AND(TODAY()&gt;=I$5, TODAY()&lt;J$5)</formula>
    </cfRule>
  </conditionalFormatting>
  <conditionalFormatting sqref="I9:AI13 BM9:CN13">
    <cfRule type="expression" dxfId="15" priority="9" stopIfTrue="1">
      <formula>AND(task_end&gt;=I$5,task_start&lt;J$5)</formula>
    </cfRule>
  </conditionalFormatting>
  <conditionalFormatting sqref="I15:AI19 BM15:CN19">
    <cfRule type="expression" dxfId="14" priority="7" stopIfTrue="1">
      <formula>AND(task_end&gt;=I$5,task_start&lt;J$5)</formula>
    </cfRule>
  </conditionalFormatting>
  <conditionalFormatting sqref="I21:AI25 BM21:CN25">
    <cfRule type="expression" dxfId="13" priority="5" stopIfTrue="1">
      <formula>AND(task_end&gt;=I$5,task_start&lt;J$5)</formula>
    </cfRule>
  </conditionalFormatting>
  <conditionalFormatting sqref="I27:AI31 BM27:CN31">
    <cfRule type="expression" dxfId="12" priority="38">
      <formula>AND(task_start&lt;=I$5,ROUNDDOWN((task_end-task_start+1)*task_progress,0)+task_start-1&gt;=I$5)</formula>
    </cfRule>
    <cfRule type="expression" dxfId="11" priority="39" stopIfTrue="1">
      <formula>AND(task_end&gt;=I$5,task_start&lt;J$5)</formula>
    </cfRule>
  </conditionalFormatting>
  <conditionalFormatting sqref="I9:CN13">
    <cfRule type="expression" dxfId="10" priority="8">
      <formula>AND(task_start&lt;=I$5,ROUNDDOWN((task_end-task_start+1)*task_progress,0)+task_start-1&gt;=I$5)</formula>
    </cfRule>
  </conditionalFormatting>
  <conditionalFormatting sqref="I15:CN19">
    <cfRule type="expression" dxfId="9" priority="6">
      <formula>AND(task_start&lt;=I$5,ROUNDDOWN((task_end-task_start+1)*task_progress,0)+task_start-1&gt;=I$5)</formula>
    </cfRule>
  </conditionalFormatting>
  <conditionalFormatting sqref="I21:CN25">
    <cfRule type="expression" dxfId="8" priority="4">
      <formula>AND(task_start&lt;=I$5,ROUNDDOWN((task_end-task_start+1)*task_progress,0)+task_start-1&gt;=I$5)</formula>
    </cfRule>
  </conditionalFormatting>
  <conditionalFormatting sqref="AJ4:AJ6 BL5:BL6 AJ7:BL31">
    <cfRule type="expression" dxfId="7" priority="42">
      <formula>AND(TODAY()&gt;=AJ$5, TODAY()&lt;BM$5)</formula>
    </cfRule>
  </conditionalFormatting>
  <conditionalFormatting sqref="AJ9:BL13">
    <cfRule type="expression" dxfId="6" priority="48" stopIfTrue="1">
      <formula>AND(task_end&gt;=AJ$5,task_start&lt;BM$5)</formula>
    </cfRule>
  </conditionalFormatting>
  <conditionalFormatting sqref="AJ15:BL19">
    <cfRule type="expression" dxfId="5" priority="54" stopIfTrue="1">
      <formula>AND(task_end&gt;=AJ$5,task_start&lt;BM$5)</formula>
    </cfRule>
  </conditionalFormatting>
  <conditionalFormatting sqref="AJ21:BL25">
    <cfRule type="expression" dxfId="4" priority="60" stopIfTrue="1">
      <formula>AND(task_end&gt;=AJ$5,task_start&lt;BM$5)</formula>
    </cfRule>
  </conditionalFormatting>
  <conditionalFormatting sqref="AJ27:BL31">
    <cfRule type="expression" dxfId="3" priority="65">
      <formula>AND(task_start&lt;=AJ$5,ROUNDDOWN((task_end-task_start+1)*task_progress,0)+task_start-1&gt;=AJ$5)</formula>
    </cfRule>
    <cfRule type="expression" dxfId="2" priority="66" stopIfTrue="1">
      <formula>AND(task_end&gt;=AJ$5,task_start&lt;BM$5)</formula>
    </cfRule>
  </conditionalFormatting>
  <conditionalFormatting sqref="AK5:BK6">
    <cfRule type="expression" dxfId="1" priority="1">
      <formula>AND(TODAY()&gt;=AK$5, TODAY()&lt;AL$5)</formula>
    </cfRule>
  </conditionalFormatting>
  <conditionalFormatting sqref="AK4:BL4">
    <cfRule type="expression" dxfId="0" priority="2">
      <formula>AND(TODAY()&gt;=AK$5, TODAY()&lt;AL$5)</formula>
    </cfRule>
  </conditionalFormatting>
  <dataValidations count="13">
    <dataValidation type="whole" operator="greaterThanOrEqual" allowBlank="1" showInputMessage="1" promptTitle="Display Week" prompt="Changing this number will scroll the Gantt Chart view." sqref="Q2" xr:uid="{00000000-0002-0000-01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00000000-0002-0000-0100-000001000000}"/>
    <dataValidation allowBlank="1" showInputMessage="1" showErrorMessage="1" prompt="Enter Company name in cel B2." sqref="A2" xr:uid="{00000000-0002-0000-0100-000002000000}"/>
    <dataValidation allowBlank="1" showInputMessage="1" showErrorMessage="1" prompt="Enter the name of the Project Lead in cell C3. Enter the Project Start date in cell Q1. Project Start: label is in cell I1." sqref="A3" xr:uid="{00000000-0002-0000-0100-00000300000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100-000004000000}"/>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100-000005000000}"/>
    <dataValidation allowBlank="1" showInputMessage="1" showErrorMessage="1" prompt="Cell B8 contains the Phase 1 sample title. Enter a new title in cell B8._x000a_To delete the phase and work only from tasks, simply delete this row." sqref="A8" xr:uid="{00000000-0002-0000-0100-0000060000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00000000-0002-0000-0100-000007000000}"/>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00000000-0002-0000-0100-00000800000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00000000-0002-0000-0100-000009000000}"/>
    <dataValidation allowBlank="1" showInputMessage="1" showErrorMessage="1" prompt="Phase 3's sample block starts in cell B20." sqref="A20" xr:uid="{00000000-0002-0000-0100-00000A000000}"/>
    <dataValidation allowBlank="1" showInputMessage="1" showErrorMessage="1" prompt="Phase 4's sample block starts in cell B26." sqref="A26" xr:uid="{00000000-0002-0000-0100-00000B000000}"/>
    <dataValidation allowBlank="1" showInputMessage="1" showErrorMessage="1" prompt="This row marks the end of the Project Schedule. DO NOT enter anything in this row. _x000a_Insert new rows ABOVE this one to continue building out your Project Schedule." sqref="A33" xr:uid="{00000000-0002-0000-0100-00000C000000}"/>
  </dataValidations>
  <hyperlinks>
    <hyperlink ref="B3" r:id="rId1" xr:uid="{00000000-0004-0000-0100-000000000000}"/>
    <hyperlink ref="B4" r:id="rId2" xr:uid="{00000000-0004-0000-0100-000001000000}"/>
  </hyperlinks>
  <printOptions horizontalCentered="1"/>
  <pageMargins left="0.75" right="0.75" top="1" bottom="1" header="0.5" footer="0.5"/>
  <pageSetup scale="73" fitToHeight="0" orientation="landscape"/>
  <headerFooter>
    <oddHeader>&amp;C&amp;F&amp;F&amp;F</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Project Timeline</vt:lpstr>
      <vt:lpstr>Sheet1</vt:lpstr>
      <vt:lpstr>Gantt Template</vt:lpstr>
      <vt:lpstr>Display_Week</vt:lpstr>
      <vt:lpstr>'Gantt Template'!Print_Titles</vt:lpstr>
      <vt:lpstr>'Project Timeline'!Print_Titles</vt:lpstr>
      <vt:lpstr>Project_Start</vt:lpstr>
      <vt:lpstr>'Gantt Template'!task_end</vt:lpstr>
      <vt:lpstr>'Gantt Template'!task_progress</vt:lpstr>
      <vt:lpstr>'Gantt Template'!task_start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Thaninnada Samart</dc:creator>
  <cp:lastModifiedBy>Thaninnada Samart</cp:lastModifiedBy>
  <dcterms:created xsi:type="dcterms:W3CDTF">2022-03-11T22:41:12Z</dcterms:created>
  <dcterms:modified xsi:type="dcterms:W3CDTF">2026-10-19T09:43:18Z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